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GRAM\"/>
    </mc:Choice>
  </mc:AlternateContent>
  <xr:revisionPtr revIDLastSave="0" documentId="8_{074C45E6-4AFA-418A-9D9A-57BDDA137BE5}" xr6:coauthVersionLast="47" xr6:coauthVersionMax="47" xr10:uidLastSave="{00000000-0000-0000-0000-000000000000}"/>
  <bookViews>
    <workbookView xWindow="-120" yWindow="-120" windowWidth="29040" windowHeight="15840" xr2:uid="{5A425CB3-04C0-44CA-B7C2-58517E1F252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2" i="1" l="1" a="1"/>
  <c r="K192" i="1" s="1"/>
  <c r="A192" i="1" a="1"/>
  <c r="A192" i="1" s="1"/>
  <c r="K191" i="1" a="1"/>
  <c r="K191" i="1" s="1"/>
  <c r="A191" i="1" a="1"/>
  <c r="A191" i="1" s="1"/>
  <c r="K190" i="1" a="1"/>
  <c r="K190" i="1" s="1"/>
  <c r="A190" i="1" a="1"/>
  <c r="A190" i="1" s="1"/>
  <c r="K189" i="1" a="1"/>
  <c r="K189" i="1" s="1"/>
  <c r="A189" i="1" a="1"/>
  <c r="A189" i="1" s="1"/>
  <c r="K188" i="1" a="1"/>
  <c r="K188" i="1" s="1"/>
  <c r="A188" i="1" a="1"/>
  <c r="A188" i="1" s="1"/>
  <c r="K187" i="1" a="1"/>
  <c r="K187" i="1" s="1"/>
  <c r="O187" i="1"/>
  <c r="P187" i="1"/>
  <c r="A187" i="1" a="1"/>
  <c r="A187" i="1" s="1"/>
  <c r="K186" i="1" a="1"/>
  <c r="K186" i="1" s="1"/>
  <c r="A186" i="1" a="1"/>
  <c r="A186" i="1" s="1"/>
  <c r="K185" i="1" a="1"/>
  <c r="K185" i="1" s="1"/>
  <c r="A185" i="1" a="1"/>
  <c r="A185" i="1" s="1"/>
  <c r="K184" i="1" a="1"/>
  <c r="K184" i="1" s="1"/>
  <c r="P184" i="1"/>
  <c r="A184" i="1" a="1"/>
  <c r="A184" i="1" s="1"/>
  <c r="K183" i="1" a="1"/>
  <c r="K183" i="1" s="1"/>
  <c r="A183" i="1" a="1"/>
  <c r="A183" i="1" s="1"/>
  <c r="K182" i="1" a="1"/>
  <c r="K182" i="1" s="1"/>
  <c r="A182" i="1" a="1"/>
  <c r="A182" i="1" s="1"/>
  <c r="K181" i="1" a="1"/>
  <c r="K181" i="1" s="1"/>
  <c r="A181" i="1" a="1"/>
  <c r="A181" i="1" s="1"/>
  <c r="K180" i="1" a="1"/>
  <c r="K180" i="1" s="1"/>
  <c r="A180" i="1" a="1"/>
  <c r="A180" i="1" s="1"/>
  <c r="K179" i="1" a="1"/>
  <c r="K179" i="1" s="1"/>
  <c r="P179" i="1"/>
  <c r="A179" i="1" a="1"/>
  <c r="A179" i="1" s="1"/>
  <c r="K178" i="1" a="1"/>
  <c r="K178" i="1" s="1"/>
  <c r="N178" i="1"/>
  <c r="A178" i="1" a="1"/>
  <c r="A178" i="1" s="1"/>
  <c r="H178" i="1"/>
  <c r="K177" i="1" a="1"/>
  <c r="K177" i="1" s="1"/>
  <c r="A177" i="1" a="1"/>
  <c r="A177" i="1" s="1"/>
  <c r="K176" i="1" a="1"/>
  <c r="K176" i="1" s="1"/>
  <c r="A176" i="1" a="1"/>
  <c r="A176" i="1" s="1"/>
  <c r="K175" i="1" a="1"/>
  <c r="K175" i="1" s="1"/>
  <c r="A175" i="1" a="1"/>
  <c r="A175" i="1" s="1"/>
  <c r="K174" i="1" a="1"/>
  <c r="K174" i="1" s="1"/>
  <c r="A174" i="1" a="1"/>
  <c r="A174" i="1" s="1"/>
  <c r="K173" i="1" a="1"/>
  <c r="K173" i="1" s="1"/>
  <c r="P173" i="1"/>
  <c r="A173" i="1" a="1"/>
  <c r="A173" i="1" s="1"/>
  <c r="K172" i="1" a="1"/>
  <c r="K172" i="1" s="1"/>
  <c r="A172" i="1" a="1"/>
  <c r="A172" i="1" s="1"/>
  <c r="K171" i="1" a="1"/>
  <c r="K171" i="1" s="1"/>
  <c r="A171" i="1" a="1"/>
  <c r="A171" i="1" s="1"/>
  <c r="K170" i="1" a="1"/>
  <c r="K170" i="1" s="1"/>
  <c r="O170" i="1"/>
  <c r="P170" i="1"/>
  <c r="A170" i="1" a="1"/>
  <c r="A170" i="1" s="1"/>
  <c r="K169" i="1" a="1"/>
  <c r="K169" i="1" s="1"/>
  <c r="A169" i="1" a="1"/>
  <c r="A169" i="1" s="1"/>
  <c r="K168" i="1" a="1"/>
  <c r="K168" i="1" s="1"/>
  <c r="A168" i="1" a="1"/>
  <c r="A168" i="1" s="1"/>
  <c r="K167" i="1" a="1"/>
  <c r="K167" i="1" s="1"/>
  <c r="O167" i="1"/>
  <c r="P167" i="1"/>
  <c r="A167" i="1" a="1"/>
  <c r="A167" i="1" s="1"/>
  <c r="K166" i="1" a="1"/>
  <c r="K166" i="1" s="1"/>
  <c r="P166" i="1"/>
  <c r="A166" i="1" a="1"/>
  <c r="A166" i="1" s="1"/>
  <c r="K165" i="1" a="1"/>
  <c r="K165" i="1" s="1"/>
  <c r="A165" i="1" a="1"/>
  <c r="A165" i="1" s="1"/>
  <c r="K164" i="1" a="1"/>
  <c r="K164" i="1" s="1"/>
  <c r="A164" i="1" a="1"/>
  <c r="A164" i="1" s="1"/>
  <c r="K163" i="1" a="1"/>
  <c r="K163" i="1" s="1"/>
  <c r="O163" i="1"/>
  <c r="P163" i="1"/>
  <c r="A163" i="1" a="1"/>
  <c r="A163" i="1" s="1"/>
  <c r="K162" i="1" a="1"/>
  <c r="K162" i="1" s="1"/>
  <c r="A162" i="1" a="1"/>
  <c r="A162" i="1" s="1"/>
  <c r="K161" i="1" a="1"/>
  <c r="K161" i="1" s="1"/>
  <c r="P161" i="1"/>
  <c r="A161" i="1" a="1"/>
  <c r="A161" i="1" s="1"/>
  <c r="K160" i="1" a="1"/>
  <c r="K160" i="1" s="1"/>
  <c r="A160" i="1" a="1"/>
  <c r="A160" i="1" s="1"/>
  <c r="K159" i="1" a="1"/>
  <c r="K159" i="1" s="1"/>
  <c r="A159" i="1" a="1"/>
  <c r="A159" i="1" s="1"/>
  <c r="K158" i="1" a="1"/>
  <c r="K158" i="1" s="1"/>
  <c r="A158" i="1" a="1"/>
  <c r="A158" i="1" s="1"/>
  <c r="K157" i="1" a="1"/>
  <c r="K157" i="1" s="1"/>
  <c r="A157" i="1" a="1"/>
  <c r="A157" i="1" s="1"/>
  <c r="K156" i="1" a="1"/>
  <c r="K156" i="1" s="1"/>
  <c r="A156" i="1" a="1"/>
  <c r="A156" i="1" s="1"/>
  <c r="K155" i="1" a="1"/>
  <c r="K155" i="1" s="1"/>
  <c r="N155" i="1"/>
  <c r="A155" i="1" a="1"/>
  <c r="A155" i="1" s="1"/>
  <c r="K154" i="1" a="1"/>
  <c r="K154" i="1" s="1"/>
  <c r="O154" i="1"/>
  <c r="A154" i="1" a="1"/>
  <c r="A154" i="1" s="1"/>
  <c r="K153" i="1" a="1"/>
  <c r="K153" i="1" s="1"/>
  <c r="A153" i="1" a="1"/>
  <c r="B153" i="1" s="1"/>
  <c r="K152" i="1" a="1"/>
  <c r="K152" i="1" s="1"/>
  <c r="P152" i="1"/>
  <c r="A152" i="1" a="1"/>
  <c r="A152" i="1" s="1"/>
  <c r="K151" i="1" a="1"/>
  <c r="K151" i="1" s="1"/>
  <c r="A151" i="1" a="1"/>
  <c r="A151" i="1" s="1"/>
  <c r="K150" i="1" a="1"/>
  <c r="K150" i="1" s="1"/>
  <c r="A150" i="1" a="1"/>
  <c r="A150" i="1" s="1"/>
  <c r="K149" i="1" a="1"/>
  <c r="K149" i="1" s="1"/>
  <c r="A149" i="1" a="1"/>
  <c r="A149" i="1" s="1"/>
  <c r="K148" i="1" a="1"/>
  <c r="K148" i="1" s="1"/>
  <c r="A148" i="1" a="1"/>
  <c r="A148" i="1" s="1"/>
  <c r="K147" i="1" a="1"/>
  <c r="K147" i="1" s="1"/>
  <c r="A147" i="1" a="1"/>
  <c r="A147" i="1" s="1"/>
  <c r="K146" i="1" a="1"/>
  <c r="K146" i="1" s="1"/>
  <c r="A146" i="1" a="1"/>
  <c r="A146" i="1" s="1"/>
  <c r="K145" i="1" a="1"/>
  <c r="K145" i="1" s="1"/>
  <c r="A145" i="1" a="1"/>
  <c r="A145" i="1" s="1"/>
  <c r="K144" i="1" a="1"/>
  <c r="K144" i="1" s="1"/>
  <c r="A144" i="1" a="1"/>
  <c r="A144" i="1" s="1"/>
  <c r="K143" i="1" a="1"/>
  <c r="K143" i="1" s="1"/>
  <c r="A143" i="1" a="1"/>
  <c r="A143" i="1" s="1"/>
  <c r="K142" i="1" a="1"/>
  <c r="K142" i="1" s="1"/>
  <c r="A142" i="1" a="1"/>
  <c r="A142" i="1" s="1"/>
  <c r="K141" i="1" a="1"/>
  <c r="K141" i="1" s="1"/>
  <c r="A141" i="1" a="1"/>
  <c r="A141" i="1" s="1"/>
  <c r="K140" i="1" a="1"/>
  <c r="K140" i="1" s="1"/>
  <c r="A140" i="1" a="1"/>
  <c r="A140" i="1" s="1"/>
  <c r="K139" i="1" a="1"/>
  <c r="K139" i="1" s="1"/>
  <c r="A139" i="1" a="1"/>
  <c r="A139" i="1" s="1"/>
  <c r="K138" i="1" a="1"/>
  <c r="L138" i="1" s="1"/>
  <c r="A138" i="1" a="1"/>
  <c r="A138" i="1" s="1"/>
  <c r="K137" i="1" a="1"/>
  <c r="K137" i="1" s="1"/>
  <c r="A137" i="1" a="1"/>
  <c r="A137" i="1" s="1"/>
  <c r="K136" i="1" a="1"/>
  <c r="K136" i="1" s="1"/>
  <c r="P136" i="1"/>
  <c r="A136" i="1" a="1"/>
  <c r="A136" i="1" s="1"/>
  <c r="K135" i="1" a="1"/>
  <c r="K135" i="1" s="1"/>
  <c r="A135" i="1" a="1"/>
  <c r="A135" i="1" s="1"/>
  <c r="K134" i="1" a="1"/>
  <c r="K134" i="1" s="1"/>
  <c r="A134" i="1" a="1"/>
  <c r="A134" i="1" s="1"/>
  <c r="K133" i="1" a="1"/>
  <c r="L133" i="1" s="1"/>
  <c r="A133" i="1" a="1"/>
  <c r="A133" i="1" s="1"/>
  <c r="K132" i="1" a="1"/>
  <c r="K132" i="1" s="1"/>
  <c r="O132" i="1"/>
  <c r="A132" i="1" a="1"/>
  <c r="A132" i="1" s="1"/>
  <c r="K131" i="1" a="1"/>
  <c r="K131" i="1" s="1"/>
  <c r="A131" i="1" a="1"/>
  <c r="B131" i="1" s="1"/>
  <c r="K130" i="1" a="1"/>
  <c r="K130" i="1" s="1"/>
  <c r="A130" i="1" a="1"/>
  <c r="A130" i="1" s="1"/>
  <c r="K129" i="1" a="1"/>
  <c r="K129" i="1" s="1"/>
  <c r="A129" i="1" a="1"/>
  <c r="A129" i="1" s="1"/>
  <c r="K128" i="1" a="1"/>
  <c r="K128" i="1" s="1"/>
  <c r="A128" i="1" a="1"/>
  <c r="A128" i="1" s="1"/>
  <c r="K127" i="1" a="1"/>
  <c r="K127" i="1" s="1"/>
  <c r="A127" i="1" a="1"/>
  <c r="A127" i="1" s="1"/>
  <c r="K126" i="1" a="1"/>
  <c r="K126" i="1" s="1"/>
  <c r="A126" i="1" a="1"/>
  <c r="A126" i="1" s="1"/>
  <c r="K125" i="1" a="1"/>
  <c r="K125" i="1" s="1"/>
  <c r="A125" i="1" a="1"/>
  <c r="A125" i="1" s="1"/>
  <c r="K124" i="1" a="1"/>
  <c r="K124" i="1" s="1"/>
  <c r="A124" i="1" a="1"/>
  <c r="A124" i="1" s="1"/>
  <c r="K123" i="1" a="1"/>
  <c r="K123" i="1" s="1"/>
  <c r="A123" i="1" a="1"/>
  <c r="A123" i="1" s="1"/>
  <c r="K122" i="1" a="1"/>
  <c r="K122" i="1" s="1"/>
  <c r="P122" i="1"/>
  <c r="A122" i="1" a="1"/>
  <c r="A122" i="1" s="1"/>
  <c r="K121" i="1" a="1"/>
  <c r="K121" i="1" s="1"/>
  <c r="A121" i="1" a="1"/>
  <c r="A121" i="1" s="1"/>
  <c r="K120" i="1" a="1"/>
  <c r="K120" i="1" s="1"/>
  <c r="A120" i="1" a="1"/>
  <c r="A120" i="1" s="1"/>
  <c r="K119" i="1" a="1"/>
  <c r="K119" i="1" s="1"/>
  <c r="A119" i="1" a="1"/>
  <c r="A119" i="1" s="1"/>
  <c r="K118" i="1" a="1"/>
  <c r="K118" i="1" s="1"/>
  <c r="A118" i="1" a="1"/>
  <c r="A118" i="1" s="1"/>
  <c r="K117" i="1" a="1"/>
  <c r="K117" i="1" s="1"/>
  <c r="A117" i="1" a="1"/>
  <c r="A117" i="1" s="1"/>
  <c r="K116" i="1" a="1"/>
  <c r="K116" i="1" s="1"/>
  <c r="A116" i="1" a="1"/>
  <c r="A116" i="1" s="1"/>
  <c r="H116" i="1"/>
  <c r="K115" i="1" a="1"/>
  <c r="K115" i="1" s="1"/>
  <c r="O115" i="1"/>
  <c r="P115" i="1"/>
  <c r="A115" i="1" a="1"/>
  <c r="B115" i="1" s="1"/>
  <c r="K114" i="1" a="1"/>
  <c r="K114" i="1" s="1"/>
  <c r="A114" i="1" a="1"/>
  <c r="A114" i="1" s="1"/>
  <c r="K113" i="1" a="1"/>
  <c r="K113" i="1" s="1"/>
  <c r="A113" i="1" a="1"/>
  <c r="A113" i="1" s="1"/>
  <c r="K112" i="1" a="1"/>
  <c r="K112" i="1" s="1"/>
  <c r="A112" i="1" a="1"/>
  <c r="A112" i="1" s="1"/>
  <c r="K111" i="1" a="1"/>
  <c r="K111" i="1" s="1"/>
  <c r="A111" i="1" a="1"/>
  <c r="A111" i="1" s="1"/>
  <c r="K110" i="1" a="1"/>
  <c r="K110" i="1" s="1"/>
  <c r="A110" i="1" a="1"/>
  <c r="A110" i="1" s="1"/>
  <c r="K109" i="1" a="1"/>
  <c r="K109" i="1" s="1"/>
  <c r="P109" i="1"/>
  <c r="A109" i="1" a="1"/>
  <c r="A109" i="1" s="1"/>
  <c r="K108" i="1" a="1"/>
  <c r="K108" i="1" s="1"/>
  <c r="A108" i="1" a="1"/>
  <c r="A108" i="1" s="1"/>
  <c r="K107" i="1" a="1"/>
  <c r="K107" i="1" s="1"/>
  <c r="A107" i="1" a="1"/>
  <c r="A107" i="1" s="1"/>
  <c r="K106" i="1" a="1"/>
  <c r="K106" i="1" s="1"/>
  <c r="O106" i="1"/>
  <c r="P106" i="1"/>
  <c r="A106" i="1" a="1"/>
  <c r="A106" i="1" s="1"/>
  <c r="K105" i="1" a="1"/>
  <c r="K105" i="1" s="1"/>
  <c r="A105" i="1" a="1"/>
  <c r="A105" i="1" s="1"/>
  <c r="K104" i="1" a="1"/>
  <c r="K104" i="1" s="1"/>
  <c r="A104" i="1" a="1"/>
  <c r="A104" i="1" s="1"/>
  <c r="K103" i="1" a="1"/>
  <c r="K103" i="1" s="1"/>
  <c r="A103" i="1" a="1"/>
  <c r="A103" i="1" s="1"/>
  <c r="K102" i="1" a="1"/>
  <c r="K102" i="1" s="1"/>
  <c r="A102" i="1" a="1"/>
  <c r="A102" i="1" s="1"/>
  <c r="K101" i="1" a="1"/>
  <c r="K101" i="1" s="1"/>
  <c r="P101" i="1"/>
  <c r="A101" i="1" a="1"/>
  <c r="A101" i="1" s="1"/>
  <c r="K100" i="1" a="1"/>
  <c r="K100" i="1" s="1"/>
  <c r="P100" i="1"/>
  <c r="A100" i="1" a="1"/>
  <c r="A100" i="1" s="1"/>
  <c r="K99" i="1" a="1"/>
  <c r="K99" i="1" s="1"/>
  <c r="A99" i="1" a="1"/>
  <c r="A99" i="1" s="1"/>
  <c r="K98" i="1" a="1"/>
  <c r="K98" i="1" s="1"/>
  <c r="A98" i="1" a="1"/>
  <c r="A98" i="1" s="1"/>
  <c r="K97" i="1" a="1"/>
  <c r="K97" i="1" s="1"/>
  <c r="A97" i="1" a="1"/>
  <c r="A97" i="1" s="1"/>
  <c r="K96" i="1" a="1"/>
  <c r="K96" i="1" s="1"/>
  <c r="A96" i="1" a="1"/>
  <c r="A96" i="1" s="1"/>
  <c r="K95" i="1" a="1"/>
  <c r="K95" i="1" s="1"/>
  <c r="A95" i="1" a="1"/>
  <c r="A95" i="1" s="1"/>
  <c r="K94" i="1" a="1"/>
  <c r="K94" i="1" s="1"/>
  <c r="A94" i="1" a="1"/>
  <c r="A94" i="1" s="1"/>
  <c r="K93" i="1" a="1"/>
  <c r="K93" i="1" s="1"/>
  <c r="P93" i="1"/>
  <c r="A93" i="1" a="1"/>
  <c r="A93" i="1" s="1"/>
  <c r="K92" i="1" a="1"/>
  <c r="K92" i="1" s="1"/>
  <c r="A92" i="1" a="1"/>
  <c r="A92" i="1" s="1"/>
  <c r="K91" i="1" a="1"/>
  <c r="K91" i="1" s="1"/>
  <c r="A91" i="1" a="1"/>
  <c r="A91" i="1" s="1"/>
  <c r="K90" i="1" a="1"/>
  <c r="K90" i="1" s="1"/>
  <c r="A90" i="1" a="1"/>
  <c r="A90" i="1" s="1"/>
  <c r="K89" i="1" a="1"/>
  <c r="K89" i="1" s="1"/>
  <c r="A89" i="1" a="1"/>
  <c r="A89" i="1" s="1"/>
  <c r="K88" i="1" a="1"/>
  <c r="K88" i="1" s="1"/>
  <c r="A88" i="1" a="1"/>
  <c r="A88" i="1" s="1"/>
  <c r="K87" i="1" a="1"/>
  <c r="K87" i="1" s="1"/>
  <c r="A87" i="1" a="1"/>
  <c r="A87" i="1" s="1"/>
  <c r="K86" i="1" a="1"/>
  <c r="K86" i="1" s="1"/>
  <c r="P86" i="1"/>
  <c r="A86" i="1" a="1"/>
  <c r="A86" i="1" s="1"/>
  <c r="K85" i="1" a="1"/>
  <c r="K85" i="1" s="1"/>
  <c r="A85" i="1" a="1"/>
  <c r="A85" i="1" s="1"/>
  <c r="K84" i="1" a="1"/>
  <c r="K84" i="1" s="1"/>
  <c r="A84" i="1" a="1"/>
  <c r="A84" i="1" s="1"/>
  <c r="K83" i="1" a="1"/>
  <c r="K83" i="1" s="1"/>
  <c r="A83" i="1" a="1"/>
  <c r="A83" i="1" s="1"/>
  <c r="K82" i="1" a="1"/>
  <c r="K82" i="1" s="1"/>
  <c r="A82" i="1" a="1"/>
  <c r="A82" i="1" s="1"/>
  <c r="K81" i="1" a="1"/>
  <c r="K81" i="1" s="1"/>
  <c r="O81" i="1"/>
  <c r="A81" i="1" a="1"/>
  <c r="A81" i="1" s="1"/>
  <c r="K80" i="1" a="1"/>
  <c r="L80" i="1" s="1"/>
  <c r="A80" i="1" a="1"/>
  <c r="A80" i="1" s="1"/>
  <c r="K79" i="1" a="1"/>
  <c r="K79" i="1" s="1"/>
  <c r="P79" i="1"/>
  <c r="A79" i="1" a="1"/>
  <c r="A79" i="1" s="1"/>
  <c r="K78" i="1" a="1"/>
  <c r="K78" i="1" s="1"/>
  <c r="A78" i="1" a="1"/>
  <c r="A78" i="1" s="1"/>
  <c r="K77" i="1" a="1"/>
  <c r="K77" i="1" s="1"/>
  <c r="A77" i="1" a="1"/>
  <c r="A77" i="1" s="1"/>
  <c r="K76" i="1" a="1"/>
  <c r="K76" i="1" s="1"/>
  <c r="P76" i="1"/>
  <c r="A76" i="1" a="1"/>
  <c r="A76" i="1" s="1"/>
  <c r="K75" i="1" a="1"/>
  <c r="K75" i="1" s="1"/>
  <c r="A75" i="1" a="1"/>
  <c r="A75" i="1" s="1"/>
  <c r="K74" i="1" a="1"/>
  <c r="K74" i="1" s="1"/>
  <c r="A74" i="1" a="1"/>
  <c r="A74" i="1" s="1"/>
  <c r="K73" i="1" a="1"/>
  <c r="K73" i="1" s="1"/>
  <c r="A73" i="1" a="1"/>
  <c r="A73" i="1" s="1"/>
  <c r="K72" i="1" a="1"/>
  <c r="K72" i="1" s="1"/>
  <c r="A72" i="1" a="1"/>
  <c r="A72" i="1" s="1"/>
  <c r="K71" i="1" a="1"/>
  <c r="K71" i="1" s="1"/>
  <c r="A71" i="1" a="1"/>
  <c r="A71" i="1" s="1"/>
  <c r="K70" i="1" a="1"/>
  <c r="K70" i="1" s="1"/>
  <c r="P70" i="1"/>
  <c r="A70" i="1" a="1"/>
  <c r="A70" i="1" s="1"/>
  <c r="K69" i="1" a="1"/>
  <c r="K69" i="1" s="1"/>
  <c r="A69" i="1" a="1"/>
  <c r="A69" i="1" s="1"/>
  <c r="K68" i="1" a="1"/>
  <c r="K68" i="1" s="1"/>
  <c r="A68" i="1" a="1"/>
  <c r="A68" i="1" s="1"/>
  <c r="K67" i="1" a="1"/>
  <c r="K67" i="1" s="1"/>
  <c r="P67" i="1"/>
  <c r="A67" i="1" a="1"/>
  <c r="A67" i="1" s="1"/>
  <c r="K66" i="1" a="1"/>
  <c r="K66" i="1" s="1"/>
  <c r="A66" i="1" a="1"/>
  <c r="A66" i="1" s="1"/>
  <c r="K65" i="1" a="1"/>
  <c r="K65" i="1" s="1"/>
  <c r="A65" i="1" a="1"/>
  <c r="A65" i="1" s="1"/>
  <c r="K64" i="1" a="1"/>
  <c r="K64" i="1" s="1"/>
  <c r="A64" i="1" a="1"/>
  <c r="A64" i="1" s="1"/>
  <c r="K63" i="1" a="1"/>
  <c r="K63" i="1" s="1"/>
  <c r="A63" i="1" a="1"/>
  <c r="A63" i="1" s="1"/>
  <c r="K62" i="1" a="1"/>
  <c r="K62" i="1" s="1"/>
  <c r="P62" i="1"/>
  <c r="A62" i="1" a="1"/>
  <c r="A62" i="1" s="1"/>
  <c r="K61" i="1" a="1"/>
  <c r="K61" i="1" s="1"/>
  <c r="A61" i="1" a="1"/>
  <c r="A61" i="1" s="1"/>
  <c r="K60" i="1" a="1"/>
  <c r="K60" i="1" s="1"/>
  <c r="A60" i="1" a="1"/>
  <c r="A60" i="1" s="1"/>
  <c r="K59" i="1" a="1"/>
  <c r="K59" i="1" s="1"/>
  <c r="A59" i="1" a="1"/>
  <c r="A59" i="1" s="1"/>
  <c r="K58" i="1" a="1"/>
  <c r="K58" i="1" s="1"/>
  <c r="A58" i="1" a="1"/>
  <c r="A58" i="1" s="1"/>
  <c r="K57" i="1" a="1"/>
  <c r="K57" i="1" s="1"/>
  <c r="A57" i="1" a="1"/>
  <c r="A57" i="1" s="1"/>
  <c r="K56" i="1" a="1"/>
  <c r="K56" i="1" s="1"/>
  <c r="A56" i="1" a="1"/>
  <c r="A56" i="1" s="1"/>
  <c r="K55" i="1" a="1"/>
  <c r="K55" i="1" s="1"/>
  <c r="A55" i="1" a="1"/>
  <c r="A55" i="1" s="1"/>
  <c r="K54" i="1" a="1"/>
  <c r="K54" i="1" s="1"/>
  <c r="A54" i="1" a="1"/>
  <c r="A54" i="1" s="1"/>
  <c r="K53" i="1" a="1"/>
  <c r="K53" i="1" s="1"/>
  <c r="A53" i="1" a="1"/>
  <c r="A53" i="1" s="1"/>
  <c r="K52" i="1" a="1"/>
  <c r="K52" i="1" s="1"/>
  <c r="A52" i="1" a="1"/>
  <c r="A52" i="1" s="1"/>
  <c r="K51" i="1" a="1"/>
  <c r="K51" i="1" s="1"/>
  <c r="A51" i="1" a="1"/>
  <c r="A51" i="1" s="1"/>
  <c r="K50" i="1" a="1"/>
  <c r="K50" i="1" s="1"/>
  <c r="A50" i="1" a="1"/>
  <c r="A50" i="1" s="1"/>
  <c r="K49" i="1" a="1"/>
  <c r="K49" i="1" s="1"/>
  <c r="A49" i="1" a="1"/>
  <c r="A49" i="1" s="1"/>
  <c r="K48" i="1" a="1"/>
  <c r="K48" i="1" s="1"/>
  <c r="A48" i="1" a="1"/>
  <c r="A48" i="1" s="1"/>
  <c r="K47" i="1" a="1"/>
  <c r="K47" i="1" s="1"/>
  <c r="A47" i="1" a="1"/>
  <c r="A47" i="1" s="1"/>
  <c r="K46" i="1" a="1"/>
  <c r="K46" i="1" s="1"/>
  <c r="A46" i="1" a="1"/>
  <c r="A46" i="1" s="1"/>
  <c r="K45" i="1" a="1"/>
  <c r="K45" i="1" s="1"/>
  <c r="A45" i="1" a="1"/>
  <c r="A45" i="1" s="1"/>
  <c r="K44" i="1" a="1"/>
  <c r="K44" i="1" s="1"/>
  <c r="A44" i="1" a="1"/>
  <c r="A44" i="1" s="1"/>
  <c r="K43" i="1" a="1"/>
  <c r="K43" i="1" s="1"/>
  <c r="A43" i="1" a="1"/>
  <c r="A43" i="1" s="1"/>
  <c r="K42" i="1" a="1"/>
  <c r="K42" i="1" s="1"/>
  <c r="A42" i="1" a="1"/>
  <c r="A42" i="1" s="1"/>
  <c r="K41" i="1" a="1"/>
  <c r="K41" i="1" s="1"/>
  <c r="A41" i="1" a="1"/>
  <c r="A41" i="1" s="1"/>
  <c r="K40" i="1" a="1"/>
  <c r="K40" i="1" s="1"/>
  <c r="A40" i="1" a="1"/>
  <c r="A40" i="1" s="1"/>
  <c r="K39" i="1" a="1"/>
  <c r="K39" i="1" s="1"/>
  <c r="A39" i="1" a="1"/>
  <c r="A39" i="1" s="1"/>
  <c r="K38" i="1" a="1"/>
  <c r="K38" i="1" s="1"/>
  <c r="A38" i="1" a="1"/>
  <c r="A38" i="1" s="1"/>
  <c r="K37" i="1" a="1"/>
  <c r="K37" i="1" s="1"/>
  <c r="A37" i="1" a="1"/>
  <c r="A37" i="1" s="1"/>
  <c r="K36" i="1" a="1"/>
  <c r="K36" i="1" s="1"/>
  <c r="A36" i="1" a="1"/>
  <c r="A36" i="1" s="1"/>
  <c r="K35" i="1" a="1"/>
  <c r="K35" i="1" s="1"/>
  <c r="A35" i="1" a="1"/>
  <c r="A35" i="1" s="1"/>
  <c r="K34" i="1" a="1"/>
  <c r="K34" i="1" s="1"/>
  <c r="A34" i="1" a="1"/>
  <c r="A34" i="1" s="1"/>
  <c r="K33" i="1" a="1"/>
  <c r="K33" i="1" s="1"/>
  <c r="A33" i="1" a="1"/>
  <c r="A33" i="1" s="1"/>
  <c r="K32" i="1" a="1"/>
  <c r="K32" i="1" s="1"/>
  <c r="A32" i="1" a="1"/>
  <c r="A32" i="1" s="1"/>
  <c r="K31" i="1" a="1"/>
  <c r="K31" i="1" s="1"/>
  <c r="A31" i="1" a="1"/>
  <c r="A31" i="1" s="1"/>
  <c r="K30" i="1" a="1"/>
  <c r="K30" i="1" s="1"/>
  <c r="A30" i="1" a="1"/>
  <c r="A30" i="1" s="1"/>
  <c r="K29" i="1" a="1"/>
  <c r="K29" i="1" s="1"/>
  <c r="A29" i="1" a="1"/>
  <c r="A29" i="1" s="1"/>
  <c r="K28" i="1" a="1"/>
  <c r="K28" i="1" s="1"/>
  <c r="A28" i="1" a="1"/>
  <c r="A28" i="1" s="1"/>
  <c r="K27" i="1" a="1"/>
  <c r="K27" i="1" s="1"/>
  <c r="A27" i="1" a="1"/>
  <c r="A27" i="1" s="1"/>
  <c r="K26" i="1" a="1"/>
  <c r="K26" i="1" s="1"/>
  <c r="A26" i="1" a="1"/>
  <c r="A26" i="1" s="1"/>
  <c r="K25" i="1" a="1"/>
  <c r="K25" i="1" s="1"/>
  <c r="A25" i="1" a="1"/>
  <c r="A25" i="1" s="1"/>
  <c r="K24" i="1" a="1"/>
  <c r="K24" i="1" s="1"/>
  <c r="A24" i="1" a="1"/>
  <c r="A24" i="1" s="1"/>
  <c r="K23" i="1" a="1"/>
  <c r="K23" i="1" s="1"/>
  <c r="A23" i="1" a="1"/>
  <c r="A23" i="1" s="1"/>
  <c r="K22" i="1" a="1"/>
  <c r="K22" i="1" s="1"/>
  <c r="A22" i="1" a="1"/>
  <c r="A22" i="1" s="1"/>
  <c r="K21" i="1" a="1"/>
  <c r="K21" i="1" s="1"/>
  <c r="A21" i="1" a="1"/>
  <c r="A21" i="1" s="1"/>
  <c r="K20" i="1" a="1"/>
  <c r="K20" i="1" s="1"/>
  <c r="A20" i="1" a="1"/>
  <c r="A20" i="1" s="1"/>
  <c r="K19" i="1" a="1"/>
  <c r="K19" i="1" s="1"/>
  <c r="A19" i="1" a="1"/>
  <c r="A19" i="1" s="1"/>
  <c r="K18" i="1" a="1"/>
  <c r="K18" i="1" s="1"/>
  <c r="A18" i="1" a="1"/>
  <c r="A18" i="1" s="1"/>
  <c r="K17" i="1" a="1"/>
  <c r="K17" i="1" s="1"/>
  <c r="A17" i="1" a="1"/>
  <c r="A17" i="1" s="1"/>
  <c r="K16" i="1" a="1"/>
  <c r="K16" i="1" s="1"/>
  <c r="A16" i="1" a="1"/>
  <c r="A16" i="1" s="1"/>
  <c r="K15" i="1" a="1"/>
  <c r="K15" i="1" s="1"/>
  <c r="A15" i="1" a="1"/>
  <c r="A15" i="1" s="1"/>
  <c r="K14" i="1" a="1"/>
  <c r="K14" i="1" s="1"/>
  <c r="A14" i="1" a="1"/>
  <c r="A14" i="1" s="1"/>
  <c r="K13" i="1" a="1"/>
  <c r="K13" i="1" s="1"/>
  <c r="A13" i="1" a="1"/>
  <c r="A13" i="1" s="1"/>
  <c r="K12" i="1" a="1"/>
  <c r="K12" i="1" s="1"/>
  <c r="A12" i="1" a="1"/>
  <c r="A12" i="1" s="1"/>
  <c r="K11" i="1" a="1"/>
  <c r="K11" i="1" s="1"/>
  <c r="A11" i="1" a="1"/>
  <c r="A11" i="1" s="1"/>
  <c r="K10" i="1" a="1"/>
  <c r="K10" i="1" s="1"/>
  <c r="A10" i="1" a="1"/>
  <c r="A10" i="1" s="1"/>
  <c r="K9" i="1" a="1"/>
  <c r="K9" i="1" s="1"/>
  <c r="A9" i="1" a="1"/>
  <c r="B9" i="1" s="1"/>
  <c r="K8" i="1" a="1"/>
  <c r="K8" i="1" s="1"/>
  <c r="A8" i="1" a="1"/>
  <c r="A8" i="1" s="1"/>
  <c r="K7" i="1" a="1"/>
  <c r="K7" i="1" s="1"/>
  <c r="A7" i="1" a="1"/>
  <c r="A7" i="1" s="1"/>
  <c r="K6" i="1" a="1"/>
  <c r="K6" i="1" s="1"/>
  <c r="A6" i="1" a="1"/>
  <c r="A6" i="1" s="1"/>
  <c r="K5" i="1" a="1"/>
  <c r="K5" i="1" s="1"/>
  <c r="A5" i="1" a="1"/>
  <c r="A5" i="1" s="1"/>
  <c r="K4" i="1" a="1"/>
  <c r="K4" i="1" s="1"/>
  <c r="A4" i="1" a="1"/>
  <c r="A4" i="1" s="1"/>
  <c r="K3" i="1" a="1"/>
  <c r="K3" i="1" s="1"/>
  <c r="A3" i="1" a="1"/>
  <c r="A3" i="1" s="1"/>
  <c r="K2" i="1" a="1"/>
  <c r="K2" i="1" s="1"/>
  <c r="A2" i="1" a="1"/>
  <c r="A2" i="1" s="1"/>
  <c r="P192" i="1" l="1"/>
  <c r="O192" i="1"/>
  <c r="N192" i="1"/>
  <c r="M192" i="1"/>
  <c r="L192" i="1"/>
  <c r="H192" i="1"/>
  <c r="F192" i="1"/>
  <c r="G192" i="1"/>
  <c r="E192" i="1"/>
  <c r="P191" i="1"/>
  <c r="D192" i="1"/>
  <c r="C192" i="1"/>
  <c r="J192" i="1"/>
  <c r="B192" i="1"/>
  <c r="I192" i="1"/>
  <c r="O191" i="1"/>
  <c r="N191" i="1"/>
  <c r="H191" i="1"/>
  <c r="M191" i="1"/>
  <c r="G191" i="1"/>
  <c r="L191" i="1"/>
  <c r="F191" i="1"/>
  <c r="E191" i="1"/>
  <c r="P190" i="1"/>
  <c r="D191" i="1"/>
  <c r="C191" i="1"/>
  <c r="J191" i="1"/>
  <c r="B191" i="1"/>
  <c r="I191" i="1"/>
  <c r="O190" i="1"/>
  <c r="N190" i="1"/>
  <c r="M190" i="1"/>
  <c r="H190" i="1"/>
  <c r="L190" i="1"/>
  <c r="F190" i="1"/>
  <c r="E190" i="1"/>
  <c r="G190" i="1"/>
  <c r="D190" i="1"/>
  <c r="C190" i="1"/>
  <c r="J190" i="1"/>
  <c r="B190" i="1"/>
  <c r="I190" i="1"/>
  <c r="P189" i="1"/>
  <c r="O189" i="1"/>
  <c r="N189" i="1"/>
  <c r="M189" i="1"/>
  <c r="H189" i="1"/>
  <c r="L189" i="1"/>
  <c r="G189" i="1"/>
  <c r="F189" i="1"/>
  <c r="E189" i="1"/>
  <c r="P188" i="1"/>
  <c r="D189" i="1"/>
  <c r="C189" i="1"/>
  <c r="J189" i="1"/>
  <c r="B189" i="1"/>
  <c r="I189" i="1"/>
  <c r="O188" i="1"/>
  <c r="N188" i="1"/>
  <c r="M188" i="1"/>
  <c r="H188" i="1"/>
  <c r="L188" i="1"/>
  <c r="F188" i="1"/>
  <c r="E188" i="1"/>
  <c r="G188" i="1"/>
  <c r="N187" i="1"/>
  <c r="D188" i="1"/>
  <c r="C188" i="1"/>
  <c r="J188" i="1"/>
  <c r="B188" i="1"/>
  <c r="I188" i="1"/>
  <c r="M187" i="1"/>
  <c r="H187" i="1"/>
  <c r="L187" i="1"/>
  <c r="G187" i="1"/>
  <c r="F187" i="1"/>
  <c r="P186" i="1"/>
  <c r="E187" i="1"/>
  <c r="O186" i="1"/>
  <c r="D187" i="1"/>
  <c r="C187" i="1"/>
  <c r="J187" i="1"/>
  <c r="B187" i="1"/>
  <c r="I187" i="1"/>
  <c r="N186" i="1"/>
  <c r="M186" i="1"/>
  <c r="L186" i="1"/>
  <c r="H186" i="1"/>
  <c r="F186" i="1"/>
  <c r="G186" i="1"/>
  <c r="P185" i="1"/>
  <c r="E186" i="1"/>
  <c r="O185" i="1"/>
  <c r="D186" i="1"/>
  <c r="C186" i="1"/>
  <c r="J186" i="1"/>
  <c r="B186" i="1"/>
  <c r="I186" i="1"/>
  <c r="N185" i="1"/>
  <c r="H185" i="1"/>
  <c r="M185" i="1"/>
  <c r="G185" i="1"/>
  <c r="L185" i="1"/>
  <c r="F185" i="1"/>
  <c r="E185" i="1"/>
  <c r="N184" i="1"/>
  <c r="D185" i="1"/>
  <c r="C185" i="1"/>
  <c r="J185" i="1"/>
  <c r="B185" i="1"/>
  <c r="I185" i="1"/>
  <c r="O184" i="1"/>
  <c r="M184" i="1"/>
  <c r="L184" i="1"/>
  <c r="H184" i="1"/>
  <c r="F184" i="1"/>
  <c r="G184" i="1"/>
  <c r="P183" i="1"/>
  <c r="E184" i="1"/>
  <c r="M183" i="1"/>
  <c r="D184" i="1"/>
  <c r="C184" i="1"/>
  <c r="J184" i="1"/>
  <c r="B184" i="1"/>
  <c r="I184" i="1"/>
  <c r="O183" i="1"/>
  <c r="N183" i="1"/>
  <c r="L183" i="1"/>
  <c r="H183" i="1"/>
  <c r="F183" i="1"/>
  <c r="G183" i="1"/>
  <c r="E183" i="1"/>
  <c r="P182" i="1"/>
  <c r="D183" i="1"/>
  <c r="C183" i="1"/>
  <c r="J183" i="1"/>
  <c r="B183" i="1"/>
  <c r="I183" i="1"/>
  <c r="O182" i="1"/>
  <c r="N182" i="1"/>
  <c r="M182" i="1"/>
  <c r="H182" i="1"/>
  <c r="L182" i="1"/>
  <c r="G182" i="1"/>
  <c r="F182" i="1"/>
  <c r="P181" i="1"/>
  <c r="E182" i="1"/>
  <c r="O181" i="1"/>
  <c r="D182" i="1"/>
  <c r="C182" i="1"/>
  <c r="J182" i="1"/>
  <c r="B182" i="1"/>
  <c r="I182" i="1"/>
  <c r="N181" i="1"/>
  <c r="M181" i="1"/>
  <c r="L181" i="1"/>
  <c r="H181" i="1"/>
  <c r="F181" i="1"/>
  <c r="G181" i="1"/>
  <c r="E181" i="1"/>
  <c r="P180" i="1"/>
  <c r="D181" i="1"/>
  <c r="C181" i="1"/>
  <c r="J181" i="1"/>
  <c r="B181" i="1"/>
  <c r="I181" i="1"/>
  <c r="O180" i="1"/>
  <c r="N180" i="1"/>
  <c r="M180" i="1"/>
  <c r="H180" i="1"/>
  <c r="L180" i="1"/>
  <c r="F180" i="1"/>
  <c r="E180" i="1"/>
  <c r="G180" i="1"/>
  <c r="O179" i="1"/>
  <c r="D180" i="1"/>
  <c r="C180" i="1"/>
  <c r="J180" i="1"/>
  <c r="B180" i="1"/>
  <c r="I180" i="1"/>
  <c r="N179" i="1"/>
  <c r="M179" i="1"/>
  <c r="H179" i="1"/>
  <c r="L179" i="1"/>
  <c r="F179" i="1"/>
  <c r="E179" i="1"/>
  <c r="G179" i="1"/>
  <c r="L178" i="1"/>
  <c r="D179" i="1"/>
  <c r="C179" i="1"/>
  <c r="J179" i="1"/>
  <c r="B179" i="1"/>
  <c r="I179" i="1"/>
  <c r="P178" i="1"/>
  <c r="O178" i="1"/>
  <c r="M178" i="1"/>
  <c r="G178" i="1"/>
  <c r="F178" i="1"/>
  <c r="E178" i="1"/>
  <c r="D178" i="1"/>
  <c r="C178" i="1"/>
  <c r="J178" i="1"/>
  <c r="B178" i="1"/>
  <c r="I178" i="1"/>
  <c r="P177" i="1"/>
  <c r="O177" i="1"/>
  <c r="N177" i="1"/>
  <c r="H177" i="1"/>
  <c r="M177" i="1"/>
  <c r="G177" i="1"/>
  <c r="L177" i="1"/>
  <c r="F177" i="1"/>
  <c r="E177" i="1"/>
  <c r="P176" i="1"/>
  <c r="D177" i="1"/>
  <c r="C177" i="1"/>
  <c r="J177" i="1"/>
  <c r="B177" i="1"/>
  <c r="I177" i="1"/>
  <c r="O176" i="1"/>
  <c r="N176" i="1"/>
  <c r="M176" i="1"/>
  <c r="L176" i="1"/>
  <c r="H176" i="1"/>
  <c r="F176" i="1"/>
  <c r="G176" i="1"/>
  <c r="P175" i="1"/>
  <c r="E176" i="1"/>
  <c r="O175" i="1"/>
  <c r="D176" i="1"/>
  <c r="C176" i="1"/>
  <c r="J176" i="1"/>
  <c r="B176" i="1"/>
  <c r="I176" i="1"/>
  <c r="N175" i="1"/>
  <c r="M175" i="1"/>
  <c r="H175" i="1"/>
  <c r="L175" i="1"/>
  <c r="F175" i="1"/>
  <c r="E175" i="1"/>
  <c r="G175" i="1"/>
  <c r="P174" i="1"/>
  <c r="D175" i="1"/>
  <c r="C175" i="1"/>
  <c r="J175" i="1"/>
  <c r="B175" i="1"/>
  <c r="I175" i="1"/>
  <c r="O174" i="1"/>
  <c r="N174" i="1"/>
  <c r="M174" i="1"/>
  <c r="H174" i="1"/>
  <c r="L174" i="1"/>
  <c r="F174" i="1"/>
  <c r="E174" i="1"/>
  <c r="G174" i="1"/>
  <c r="O173" i="1"/>
  <c r="D174" i="1"/>
  <c r="C174" i="1"/>
  <c r="J174" i="1"/>
  <c r="B174" i="1"/>
  <c r="I174" i="1"/>
  <c r="N173" i="1"/>
  <c r="M173" i="1"/>
  <c r="L173" i="1"/>
  <c r="H173" i="1"/>
  <c r="F173" i="1"/>
  <c r="G173" i="1"/>
  <c r="P172" i="1"/>
  <c r="E173" i="1"/>
  <c r="M172" i="1"/>
  <c r="D173" i="1"/>
  <c r="C173" i="1"/>
  <c r="J173" i="1"/>
  <c r="B173" i="1"/>
  <c r="I173" i="1"/>
  <c r="O172" i="1"/>
  <c r="N172" i="1"/>
  <c r="H172" i="1"/>
  <c r="L172" i="1"/>
  <c r="G172" i="1"/>
  <c r="F172" i="1"/>
  <c r="E172" i="1"/>
  <c r="P171" i="1"/>
  <c r="D172" i="1"/>
  <c r="C172" i="1"/>
  <c r="J172" i="1"/>
  <c r="B172" i="1"/>
  <c r="I172" i="1"/>
  <c r="O171" i="1"/>
  <c r="N171" i="1"/>
  <c r="M171" i="1"/>
  <c r="H171" i="1"/>
  <c r="L171" i="1"/>
  <c r="G171" i="1"/>
  <c r="F171" i="1"/>
  <c r="N170" i="1"/>
  <c r="E171" i="1"/>
  <c r="M170" i="1"/>
  <c r="D171" i="1"/>
  <c r="C171" i="1"/>
  <c r="J171" i="1"/>
  <c r="B171" i="1"/>
  <c r="I171" i="1"/>
  <c r="L170" i="1"/>
  <c r="H170" i="1"/>
  <c r="F170" i="1"/>
  <c r="G170" i="1"/>
  <c r="P169" i="1"/>
  <c r="E170" i="1"/>
  <c r="O169" i="1"/>
  <c r="D170" i="1"/>
  <c r="C170" i="1"/>
  <c r="J170" i="1"/>
  <c r="B170" i="1"/>
  <c r="I170" i="1"/>
  <c r="N169" i="1"/>
  <c r="M169" i="1"/>
  <c r="L169" i="1"/>
  <c r="H169" i="1"/>
  <c r="F169" i="1"/>
  <c r="G169" i="1"/>
  <c r="E169" i="1"/>
  <c r="M168" i="1"/>
  <c r="D169" i="1"/>
  <c r="C169" i="1"/>
  <c r="J169" i="1"/>
  <c r="B169" i="1"/>
  <c r="I169" i="1"/>
  <c r="P168" i="1"/>
  <c r="O168" i="1"/>
  <c r="N168" i="1"/>
  <c r="H168" i="1"/>
  <c r="G168" i="1"/>
  <c r="L168" i="1"/>
  <c r="F168" i="1"/>
  <c r="E168" i="1"/>
  <c r="M167" i="1"/>
  <c r="D168" i="1"/>
  <c r="C168" i="1"/>
  <c r="J168" i="1"/>
  <c r="B168" i="1"/>
  <c r="I168" i="1"/>
  <c r="N167" i="1"/>
  <c r="H167" i="1"/>
  <c r="F167" i="1"/>
  <c r="L167" i="1"/>
  <c r="E167" i="1"/>
  <c r="D167" i="1"/>
  <c r="G167" i="1"/>
  <c r="C167" i="1"/>
  <c r="J167" i="1"/>
  <c r="B167" i="1"/>
  <c r="I167" i="1"/>
  <c r="O166" i="1"/>
  <c r="N166" i="1"/>
  <c r="M166" i="1"/>
  <c r="L166" i="1"/>
  <c r="H166" i="1"/>
  <c r="F166" i="1"/>
  <c r="G166" i="1"/>
  <c r="P165" i="1"/>
  <c r="E166" i="1"/>
  <c r="O165" i="1"/>
  <c r="D166" i="1"/>
  <c r="C166" i="1"/>
  <c r="J166" i="1"/>
  <c r="B166" i="1"/>
  <c r="I166" i="1"/>
  <c r="N165" i="1"/>
  <c r="M165" i="1"/>
  <c r="H165" i="1"/>
  <c r="L165" i="1"/>
  <c r="F165" i="1"/>
  <c r="E165" i="1"/>
  <c r="G165" i="1"/>
  <c r="D165" i="1"/>
  <c r="C165" i="1"/>
  <c r="J165" i="1"/>
  <c r="B165" i="1"/>
  <c r="I165" i="1"/>
  <c r="P164" i="1"/>
  <c r="O164" i="1"/>
  <c r="N164" i="1"/>
  <c r="H164" i="1"/>
  <c r="M164" i="1"/>
  <c r="G164" i="1"/>
  <c r="L164" i="1"/>
  <c r="F164" i="1"/>
  <c r="E164" i="1"/>
  <c r="D164" i="1"/>
  <c r="C164" i="1"/>
  <c r="J164" i="1"/>
  <c r="B164" i="1"/>
  <c r="I164" i="1"/>
  <c r="N163" i="1"/>
  <c r="M163" i="1"/>
  <c r="H163" i="1"/>
  <c r="L163" i="1"/>
  <c r="G163" i="1"/>
  <c r="F163" i="1"/>
  <c r="E163" i="1"/>
  <c r="P162" i="1"/>
  <c r="D163" i="1"/>
  <c r="C163" i="1"/>
  <c r="J163" i="1"/>
  <c r="B163" i="1"/>
  <c r="I163" i="1"/>
  <c r="O162" i="1"/>
  <c r="H162" i="1"/>
  <c r="N162" i="1"/>
  <c r="G162" i="1"/>
  <c r="M162" i="1"/>
  <c r="F162" i="1"/>
  <c r="L162" i="1"/>
  <c r="E162" i="1"/>
  <c r="D162" i="1"/>
  <c r="C162" i="1"/>
  <c r="J162" i="1"/>
  <c r="B162" i="1"/>
  <c r="I162" i="1"/>
  <c r="O161" i="1"/>
  <c r="N161" i="1"/>
  <c r="M161" i="1"/>
  <c r="L161" i="1"/>
  <c r="H161" i="1"/>
  <c r="G161" i="1"/>
  <c r="F161" i="1"/>
  <c r="E161" i="1"/>
  <c r="P160" i="1"/>
  <c r="D161" i="1"/>
  <c r="C161" i="1"/>
  <c r="J161" i="1"/>
  <c r="B161" i="1"/>
  <c r="I161" i="1"/>
  <c r="O160" i="1"/>
  <c r="N160" i="1"/>
  <c r="M160" i="1"/>
  <c r="H160" i="1"/>
  <c r="L160" i="1"/>
  <c r="F160" i="1"/>
  <c r="E160" i="1"/>
  <c r="G160" i="1"/>
  <c r="P159" i="1"/>
  <c r="D160" i="1"/>
  <c r="C160" i="1"/>
  <c r="J160" i="1"/>
  <c r="B160" i="1"/>
  <c r="I160" i="1"/>
  <c r="O159" i="1"/>
  <c r="N159" i="1"/>
  <c r="M159" i="1"/>
  <c r="L159" i="1"/>
  <c r="H159" i="1"/>
  <c r="F159" i="1"/>
  <c r="G159" i="1"/>
  <c r="E159" i="1"/>
  <c r="D159" i="1"/>
  <c r="C159" i="1"/>
  <c r="J159" i="1"/>
  <c r="B159" i="1"/>
  <c r="I159" i="1"/>
  <c r="P158" i="1"/>
  <c r="O158" i="1"/>
  <c r="N158" i="1"/>
  <c r="H158" i="1"/>
  <c r="M158" i="1"/>
  <c r="G158" i="1"/>
  <c r="L158" i="1"/>
  <c r="F158" i="1"/>
  <c r="E158" i="1"/>
  <c r="P157" i="1"/>
  <c r="D158" i="1"/>
  <c r="C158" i="1"/>
  <c r="J158" i="1"/>
  <c r="B158" i="1"/>
  <c r="I158" i="1"/>
  <c r="O157" i="1"/>
  <c r="N157" i="1"/>
  <c r="M157" i="1"/>
  <c r="L157" i="1"/>
  <c r="H157" i="1"/>
  <c r="G157" i="1"/>
  <c r="E157" i="1"/>
  <c r="F157" i="1"/>
  <c r="D157" i="1"/>
  <c r="C157" i="1"/>
  <c r="J157" i="1"/>
  <c r="B157" i="1"/>
  <c r="I157" i="1"/>
  <c r="P156" i="1"/>
  <c r="O156" i="1"/>
  <c r="N156" i="1"/>
  <c r="H156" i="1"/>
  <c r="M156" i="1"/>
  <c r="G156" i="1"/>
  <c r="L156" i="1"/>
  <c r="F156" i="1"/>
  <c r="E156" i="1"/>
  <c r="D156" i="1"/>
  <c r="C156" i="1"/>
  <c r="J156" i="1"/>
  <c r="B156" i="1"/>
  <c r="I156" i="1"/>
  <c r="P155" i="1"/>
  <c r="O155" i="1"/>
  <c r="H155" i="1"/>
  <c r="M155" i="1"/>
  <c r="G155" i="1"/>
  <c r="L155" i="1"/>
  <c r="F155" i="1"/>
  <c r="D155" i="1"/>
  <c r="P154" i="1"/>
  <c r="E155" i="1"/>
  <c r="C155" i="1"/>
  <c r="J155" i="1"/>
  <c r="B155" i="1"/>
  <c r="I155" i="1"/>
  <c r="N154" i="1"/>
  <c r="M154" i="1"/>
  <c r="L154" i="1"/>
  <c r="H154" i="1"/>
  <c r="F154" i="1"/>
  <c r="G154" i="1"/>
  <c r="E154" i="1"/>
  <c r="P153" i="1"/>
  <c r="D154" i="1"/>
  <c r="C154" i="1"/>
  <c r="J154" i="1"/>
  <c r="B154" i="1"/>
  <c r="I154" i="1"/>
  <c r="O153" i="1"/>
  <c r="I153" i="1"/>
  <c r="N153" i="1"/>
  <c r="H153" i="1"/>
  <c r="M153" i="1"/>
  <c r="F153" i="1"/>
  <c r="L153" i="1"/>
  <c r="E153" i="1"/>
  <c r="A153" i="1"/>
  <c r="G153" i="1"/>
  <c r="O152" i="1"/>
  <c r="D153" i="1"/>
  <c r="C153" i="1"/>
  <c r="J153" i="1"/>
  <c r="N152" i="1"/>
  <c r="H152" i="1"/>
  <c r="M152" i="1"/>
  <c r="G152" i="1"/>
  <c r="L152" i="1"/>
  <c r="F152" i="1"/>
  <c r="E152" i="1"/>
  <c r="P151" i="1"/>
  <c r="O151" i="1"/>
  <c r="D152" i="1"/>
  <c r="C152" i="1"/>
  <c r="J152" i="1"/>
  <c r="B152" i="1"/>
  <c r="I152" i="1"/>
  <c r="N151" i="1"/>
  <c r="M151" i="1"/>
  <c r="H151" i="1"/>
  <c r="L151" i="1"/>
  <c r="G151" i="1"/>
  <c r="F151" i="1"/>
  <c r="E151" i="1"/>
  <c r="P150" i="1"/>
  <c r="D151" i="1"/>
  <c r="C151" i="1"/>
  <c r="J151" i="1"/>
  <c r="B151" i="1"/>
  <c r="I151" i="1"/>
  <c r="O150" i="1"/>
  <c r="N150" i="1"/>
  <c r="H150" i="1"/>
  <c r="M150" i="1"/>
  <c r="G150" i="1"/>
  <c r="L150" i="1"/>
  <c r="F150" i="1"/>
  <c r="E150" i="1"/>
  <c r="D150" i="1"/>
  <c r="C150" i="1"/>
  <c r="J150" i="1"/>
  <c r="B150" i="1"/>
  <c r="I150" i="1"/>
  <c r="P149" i="1"/>
  <c r="O149" i="1"/>
  <c r="N149" i="1"/>
  <c r="M149" i="1"/>
  <c r="L149" i="1"/>
  <c r="H149" i="1"/>
  <c r="F149" i="1"/>
  <c r="G149" i="1"/>
  <c r="E149" i="1"/>
  <c r="P148" i="1"/>
  <c r="D149" i="1"/>
  <c r="C149" i="1"/>
  <c r="J149" i="1"/>
  <c r="B149" i="1"/>
  <c r="I149" i="1"/>
  <c r="O148" i="1"/>
  <c r="N148" i="1"/>
  <c r="M148" i="1"/>
  <c r="L148" i="1"/>
  <c r="H148" i="1"/>
  <c r="F148" i="1"/>
  <c r="G148" i="1"/>
  <c r="E148" i="1"/>
  <c r="P147" i="1"/>
  <c r="D148" i="1"/>
  <c r="C148" i="1"/>
  <c r="J148" i="1"/>
  <c r="B148" i="1"/>
  <c r="I148" i="1"/>
  <c r="O147" i="1"/>
  <c r="N147" i="1"/>
  <c r="M147" i="1"/>
  <c r="H147" i="1"/>
  <c r="L147" i="1"/>
  <c r="G147" i="1"/>
  <c r="E147" i="1"/>
  <c r="F147" i="1"/>
  <c r="M146" i="1"/>
  <c r="D147" i="1"/>
  <c r="C147" i="1"/>
  <c r="J147" i="1"/>
  <c r="B147" i="1"/>
  <c r="I147" i="1"/>
  <c r="P146" i="1"/>
  <c r="O146" i="1"/>
  <c r="N146" i="1"/>
  <c r="H146" i="1"/>
  <c r="L146" i="1"/>
  <c r="F146" i="1"/>
  <c r="D146" i="1"/>
  <c r="G146" i="1"/>
  <c r="E146" i="1"/>
  <c r="C146" i="1"/>
  <c r="J146" i="1"/>
  <c r="B146" i="1"/>
  <c r="I146" i="1"/>
  <c r="P145" i="1"/>
  <c r="O145" i="1"/>
  <c r="N145" i="1"/>
  <c r="M145" i="1"/>
  <c r="L145" i="1"/>
  <c r="H145" i="1"/>
  <c r="F145" i="1"/>
  <c r="G145" i="1"/>
  <c r="E145" i="1"/>
  <c r="P144" i="1"/>
  <c r="D145" i="1"/>
  <c r="C145" i="1"/>
  <c r="J145" i="1"/>
  <c r="B145" i="1"/>
  <c r="I145" i="1"/>
  <c r="O144" i="1"/>
  <c r="N144" i="1"/>
  <c r="M144" i="1"/>
  <c r="L144" i="1"/>
  <c r="H144" i="1"/>
  <c r="F144" i="1"/>
  <c r="G144" i="1"/>
  <c r="E144" i="1"/>
  <c r="P143" i="1"/>
  <c r="D144" i="1"/>
  <c r="C144" i="1"/>
  <c r="J144" i="1"/>
  <c r="B144" i="1"/>
  <c r="I144" i="1"/>
  <c r="O143" i="1"/>
  <c r="N143" i="1"/>
  <c r="M143" i="1"/>
  <c r="H143" i="1"/>
  <c r="L143" i="1"/>
  <c r="F143" i="1"/>
  <c r="E143" i="1"/>
  <c r="G143" i="1"/>
  <c r="L142" i="1"/>
  <c r="D143" i="1"/>
  <c r="C143" i="1"/>
  <c r="J143" i="1"/>
  <c r="B143" i="1"/>
  <c r="I143" i="1"/>
  <c r="P142" i="1"/>
  <c r="O142" i="1"/>
  <c r="N142" i="1"/>
  <c r="M142" i="1"/>
  <c r="H142" i="1"/>
  <c r="G142" i="1"/>
  <c r="F142" i="1"/>
  <c r="E142" i="1"/>
  <c r="P141" i="1"/>
  <c r="D142" i="1"/>
  <c r="C142" i="1"/>
  <c r="J142" i="1"/>
  <c r="B142" i="1"/>
  <c r="I142" i="1"/>
  <c r="O141" i="1"/>
  <c r="N141" i="1"/>
  <c r="M141" i="1"/>
  <c r="H141" i="1"/>
  <c r="L141" i="1"/>
  <c r="G141" i="1"/>
  <c r="F141" i="1"/>
  <c r="P140" i="1"/>
  <c r="E141" i="1"/>
  <c r="N140" i="1"/>
  <c r="D141" i="1"/>
  <c r="C141" i="1"/>
  <c r="J141" i="1"/>
  <c r="B141" i="1"/>
  <c r="I141" i="1"/>
  <c r="O140" i="1"/>
  <c r="M140" i="1"/>
  <c r="H140" i="1"/>
  <c r="L140" i="1"/>
  <c r="F140" i="1"/>
  <c r="E140" i="1"/>
  <c r="G140" i="1"/>
  <c r="P139" i="1"/>
  <c r="D140" i="1"/>
  <c r="C140" i="1"/>
  <c r="J140" i="1"/>
  <c r="B140" i="1"/>
  <c r="I140" i="1"/>
  <c r="O139" i="1"/>
  <c r="N139" i="1"/>
  <c r="M139" i="1"/>
  <c r="H139" i="1"/>
  <c r="L139" i="1"/>
  <c r="F139" i="1"/>
  <c r="C139" i="1"/>
  <c r="G139" i="1"/>
  <c r="E139" i="1"/>
  <c r="K138" i="1"/>
  <c r="D139" i="1"/>
  <c r="J139" i="1"/>
  <c r="B139" i="1"/>
  <c r="I139" i="1"/>
  <c r="P138" i="1"/>
  <c r="O138" i="1"/>
  <c r="N138" i="1"/>
  <c r="M138" i="1"/>
  <c r="H138" i="1"/>
  <c r="F138" i="1"/>
  <c r="G138" i="1"/>
  <c r="P137" i="1"/>
  <c r="E138" i="1"/>
  <c r="O137" i="1"/>
  <c r="D138" i="1"/>
  <c r="C138" i="1"/>
  <c r="J138" i="1"/>
  <c r="B138" i="1"/>
  <c r="I138" i="1"/>
  <c r="N137" i="1"/>
  <c r="M137" i="1"/>
  <c r="L137" i="1"/>
  <c r="H137" i="1"/>
  <c r="F137" i="1"/>
  <c r="G137" i="1"/>
  <c r="O136" i="1"/>
  <c r="E137" i="1"/>
  <c r="N136" i="1"/>
  <c r="D137" i="1"/>
  <c r="C137" i="1"/>
  <c r="J137" i="1"/>
  <c r="B137" i="1"/>
  <c r="I137" i="1"/>
  <c r="M136" i="1"/>
  <c r="H136" i="1"/>
  <c r="L136" i="1"/>
  <c r="G136" i="1"/>
  <c r="F136" i="1"/>
  <c r="E136" i="1"/>
  <c r="D136" i="1"/>
  <c r="C136" i="1"/>
  <c r="J136" i="1"/>
  <c r="B136" i="1"/>
  <c r="I136" i="1"/>
  <c r="P135" i="1"/>
  <c r="O135" i="1"/>
  <c r="N135" i="1"/>
  <c r="M135" i="1"/>
  <c r="L135" i="1"/>
  <c r="G135" i="1"/>
  <c r="F135" i="1"/>
  <c r="E135" i="1"/>
  <c r="H135" i="1"/>
  <c r="L134" i="1"/>
  <c r="D135" i="1"/>
  <c r="C135" i="1"/>
  <c r="J135" i="1"/>
  <c r="B135" i="1"/>
  <c r="I135" i="1"/>
  <c r="P134" i="1"/>
  <c r="O134" i="1"/>
  <c r="N134" i="1"/>
  <c r="M134" i="1"/>
  <c r="H134" i="1"/>
  <c r="G134" i="1"/>
  <c r="E134" i="1"/>
  <c r="F134" i="1"/>
  <c r="K133" i="1"/>
  <c r="D134" i="1"/>
  <c r="C134" i="1"/>
  <c r="J134" i="1"/>
  <c r="B134" i="1"/>
  <c r="I134" i="1"/>
  <c r="P133" i="1"/>
  <c r="O133" i="1"/>
  <c r="N133" i="1"/>
  <c r="H133" i="1"/>
  <c r="M133" i="1"/>
  <c r="G133" i="1"/>
  <c r="F133" i="1"/>
  <c r="D133" i="1"/>
  <c r="P132" i="1"/>
  <c r="E133" i="1"/>
  <c r="C133" i="1"/>
  <c r="J133" i="1"/>
  <c r="B133" i="1"/>
  <c r="I133" i="1"/>
  <c r="H132" i="1"/>
  <c r="N132" i="1"/>
  <c r="F132" i="1"/>
  <c r="M132" i="1"/>
  <c r="E132" i="1"/>
  <c r="L132" i="1"/>
  <c r="D132" i="1"/>
  <c r="C132" i="1"/>
  <c r="G132" i="1"/>
  <c r="J132" i="1"/>
  <c r="B132" i="1"/>
  <c r="I132" i="1"/>
  <c r="P131" i="1"/>
  <c r="O131" i="1"/>
  <c r="I131" i="1"/>
  <c r="N131" i="1"/>
  <c r="H131" i="1"/>
  <c r="M131" i="1"/>
  <c r="G131" i="1"/>
  <c r="L131" i="1"/>
  <c r="F131" i="1"/>
  <c r="A131" i="1"/>
  <c r="E131" i="1"/>
  <c r="P130" i="1"/>
  <c r="D131" i="1"/>
  <c r="C131" i="1"/>
  <c r="J131" i="1"/>
  <c r="O130" i="1"/>
  <c r="N130" i="1"/>
  <c r="M130" i="1"/>
  <c r="L130" i="1"/>
  <c r="H130" i="1"/>
  <c r="F130" i="1"/>
  <c r="G130" i="1"/>
  <c r="E130" i="1"/>
  <c r="P129" i="1"/>
  <c r="D130" i="1"/>
  <c r="C130" i="1"/>
  <c r="J130" i="1"/>
  <c r="B130" i="1"/>
  <c r="I130" i="1"/>
  <c r="O129" i="1"/>
  <c r="N129" i="1"/>
  <c r="M129" i="1"/>
  <c r="L129" i="1"/>
  <c r="H129" i="1"/>
  <c r="F129" i="1"/>
  <c r="G129" i="1"/>
  <c r="E129" i="1"/>
  <c r="M128" i="1"/>
  <c r="D129" i="1"/>
  <c r="C129" i="1"/>
  <c r="J129" i="1"/>
  <c r="B129" i="1"/>
  <c r="I129" i="1"/>
  <c r="P128" i="1"/>
  <c r="O128" i="1"/>
  <c r="N128" i="1"/>
  <c r="H128" i="1"/>
  <c r="L128" i="1"/>
  <c r="G128" i="1"/>
  <c r="F128" i="1"/>
  <c r="P127" i="1"/>
  <c r="E128" i="1"/>
  <c r="O127" i="1"/>
  <c r="D128" i="1"/>
  <c r="C128" i="1"/>
  <c r="J128" i="1"/>
  <c r="B128" i="1"/>
  <c r="I128" i="1"/>
  <c r="N127" i="1"/>
  <c r="M127" i="1"/>
  <c r="H127" i="1"/>
  <c r="L127" i="1"/>
  <c r="G127" i="1"/>
  <c r="C127" i="1"/>
  <c r="F127" i="1"/>
  <c r="E127" i="1"/>
  <c r="D127" i="1"/>
  <c r="J127" i="1"/>
  <c r="B127" i="1"/>
  <c r="I127" i="1"/>
  <c r="P126" i="1"/>
  <c r="O126" i="1"/>
  <c r="N126" i="1"/>
  <c r="M126" i="1"/>
  <c r="H126" i="1"/>
  <c r="L126" i="1"/>
  <c r="G126" i="1"/>
  <c r="F126" i="1"/>
  <c r="E126" i="1"/>
  <c r="P125" i="1"/>
  <c r="D126" i="1"/>
  <c r="C126" i="1"/>
  <c r="J126" i="1"/>
  <c r="B126" i="1"/>
  <c r="I126" i="1"/>
  <c r="O125" i="1"/>
  <c r="N125" i="1"/>
  <c r="M125" i="1"/>
  <c r="H125" i="1"/>
  <c r="L125" i="1"/>
  <c r="G125" i="1"/>
  <c r="C125" i="1"/>
  <c r="F125" i="1"/>
  <c r="E125" i="1"/>
  <c r="P124" i="1"/>
  <c r="D125" i="1"/>
  <c r="J125" i="1"/>
  <c r="B125" i="1"/>
  <c r="I125" i="1"/>
  <c r="O124" i="1"/>
  <c r="N124" i="1"/>
  <c r="M124" i="1"/>
  <c r="H124" i="1"/>
  <c r="L124" i="1"/>
  <c r="F124" i="1"/>
  <c r="E124" i="1"/>
  <c r="G124" i="1"/>
  <c r="P123" i="1"/>
  <c r="D124" i="1"/>
  <c r="C124" i="1"/>
  <c r="J124" i="1"/>
  <c r="B124" i="1"/>
  <c r="I124" i="1"/>
  <c r="O123" i="1"/>
  <c r="N123" i="1"/>
  <c r="M123" i="1"/>
  <c r="L123" i="1"/>
  <c r="H123" i="1"/>
  <c r="F123" i="1"/>
  <c r="G123" i="1"/>
  <c r="E123" i="1"/>
  <c r="O122" i="1"/>
  <c r="D123" i="1"/>
  <c r="C123" i="1"/>
  <c r="J123" i="1"/>
  <c r="B123" i="1"/>
  <c r="I123" i="1"/>
  <c r="N122" i="1"/>
  <c r="H122" i="1"/>
  <c r="M122" i="1"/>
  <c r="G122" i="1"/>
  <c r="L122" i="1"/>
  <c r="F122" i="1"/>
  <c r="E122" i="1"/>
  <c r="P121" i="1"/>
  <c r="D122" i="1"/>
  <c r="C122" i="1"/>
  <c r="J122" i="1"/>
  <c r="B122" i="1"/>
  <c r="I122" i="1"/>
  <c r="O121" i="1"/>
  <c r="N121" i="1"/>
  <c r="M121" i="1"/>
  <c r="H121" i="1"/>
  <c r="L121" i="1"/>
  <c r="F121" i="1"/>
  <c r="E121" i="1"/>
  <c r="G121" i="1"/>
  <c r="P120" i="1"/>
  <c r="D121" i="1"/>
  <c r="C121" i="1"/>
  <c r="J121" i="1"/>
  <c r="B121" i="1"/>
  <c r="I121" i="1"/>
  <c r="O120" i="1"/>
  <c r="N120" i="1"/>
  <c r="M120" i="1"/>
  <c r="L120" i="1"/>
  <c r="H120" i="1"/>
  <c r="F120" i="1"/>
  <c r="G120" i="1"/>
  <c r="E120" i="1"/>
  <c r="P119" i="1"/>
  <c r="D120" i="1"/>
  <c r="C120" i="1"/>
  <c r="J120" i="1"/>
  <c r="B120" i="1"/>
  <c r="I120" i="1"/>
  <c r="O119" i="1"/>
  <c r="N119" i="1"/>
  <c r="M119" i="1"/>
  <c r="H119" i="1"/>
  <c r="L119" i="1"/>
  <c r="F119" i="1"/>
  <c r="E119" i="1"/>
  <c r="G119" i="1"/>
  <c r="P118" i="1"/>
  <c r="D119" i="1"/>
  <c r="C119" i="1"/>
  <c r="J119" i="1"/>
  <c r="B119" i="1"/>
  <c r="I119" i="1"/>
  <c r="O118" i="1"/>
  <c r="N118" i="1"/>
  <c r="M118" i="1"/>
  <c r="L118" i="1"/>
  <c r="H118" i="1"/>
  <c r="F118" i="1"/>
  <c r="G118" i="1"/>
  <c r="E118" i="1"/>
  <c r="P117" i="1"/>
  <c r="D118" i="1"/>
  <c r="C118" i="1"/>
  <c r="J118" i="1"/>
  <c r="B118" i="1"/>
  <c r="I118" i="1"/>
  <c r="O117" i="1"/>
  <c r="N117" i="1"/>
  <c r="M117" i="1"/>
  <c r="L117" i="1"/>
  <c r="H117" i="1"/>
  <c r="G117" i="1"/>
  <c r="F117" i="1"/>
  <c r="P116" i="1"/>
  <c r="E117" i="1"/>
  <c r="M116" i="1"/>
  <c r="D117" i="1"/>
  <c r="C117" i="1"/>
  <c r="J117" i="1"/>
  <c r="B117" i="1"/>
  <c r="I117" i="1"/>
  <c r="O116" i="1"/>
  <c r="I116" i="1"/>
  <c r="N116" i="1"/>
  <c r="G116" i="1"/>
  <c r="L116" i="1"/>
  <c r="F116" i="1"/>
  <c r="E116" i="1"/>
  <c r="D116" i="1"/>
  <c r="C116" i="1"/>
  <c r="J116" i="1"/>
  <c r="B116" i="1"/>
  <c r="I115" i="1"/>
  <c r="N115" i="1"/>
  <c r="H115" i="1"/>
  <c r="M115" i="1"/>
  <c r="G115" i="1"/>
  <c r="L115" i="1"/>
  <c r="F115" i="1"/>
  <c r="A115" i="1"/>
  <c r="E115" i="1"/>
  <c r="D115" i="1"/>
  <c r="C115" i="1"/>
  <c r="J115" i="1"/>
  <c r="P114" i="1"/>
  <c r="O114" i="1"/>
  <c r="N114" i="1"/>
  <c r="H114" i="1"/>
  <c r="M114" i="1"/>
  <c r="G114" i="1"/>
  <c r="L114" i="1"/>
  <c r="F114" i="1"/>
  <c r="E114" i="1"/>
  <c r="P113" i="1"/>
  <c r="D114" i="1"/>
  <c r="C114" i="1"/>
  <c r="J114" i="1"/>
  <c r="B114" i="1"/>
  <c r="I114" i="1"/>
  <c r="O113" i="1"/>
  <c r="N113" i="1"/>
  <c r="M113" i="1"/>
  <c r="H113" i="1"/>
  <c r="L113" i="1"/>
  <c r="F113" i="1"/>
  <c r="E113" i="1"/>
  <c r="G113" i="1"/>
  <c r="D113" i="1"/>
  <c r="C113" i="1"/>
  <c r="J113" i="1"/>
  <c r="B113" i="1"/>
  <c r="I113" i="1"/>
  <c r="P112" i="1"/>
  <c r="O112" i="1"/>
  <c r="N112" i="1"/>
  <c r="M112" i="1"/>
  <c r="H112" i="1"/>
  <c r="L112" i="1"/>
  <c r="G112" i="1"/>
  <c r="F112" i="1"/>
  <c r="E112" i="1"/>
  <c r="P111" i="1"/>
  <c r="D112" i="1"/>
  <c r="C112" i="1"/>
  <c r="J112" i="1"/>
  <c r="B112" i="1"/>
  <c r="I112" i="1"/>
  <c r="O111" i="1"/>
  <c r="N111" i="1"/>
  <c r="M111" i="1"/>
  <c r="H111" i="1"/>
  <c r="L111" i="1"/>
  <c r="G111" i="1"/>
  <c r="F111" i="1"/>
  <c r="E111" i="1"/>
  <c r="P110" i="1"/>
  <c r="D111" i="1"/>
  <c r="C111" i="1"/>
  <c r="J111" i="1"/>
  <c r="B111" i="1"/>
  <c r="I111" i="1"/>
  <c r="O110" i="1"/>
  <c r="N110" i="1"/>
  <c r="M110" i="1"/>
  <c r="L110" i="1"/>
  <c r="H110" i="1"/>
  <c r="F110" i="1"/>
  <c r="G110" i="1"/>
  <c r="O109" i="1"/>
  <c r="E110" i="1"/>
  <c r="N109" i="1"/>
  <c r="D110" i="1"/>
  <c r="C110" i="1"/>
  <c r="J110" i="1"/>
  <c r="B110" i="1"/>
  <c r="I110" i="1"/>
  <c r="M109" i="1"/>
  <c r="H109" i="1"/>
  <c r="L109" i="1"/>
  <c r="F109" i="1"/>
  <c r="E109" i="1"/>
  <c r="G108" i="1"/>
  <c r="G109" i="1"/>
  <c r="P108" i="1"/>
  <c r="D109" i="1"/>
  <c r="F108" i="1"/>
  <c r="C109" i="1"/>
  <c r="J109" i="1"/>
  <c r="B109" i="1"/>
  <c r="I109" i="1"/>
  <c r="H108" i="1"/>
  <c r="P107" i="1"/>
  <c r="O108" i="1"/>
  <c r="M107" i="1"/>
  <c r="N108" i="1"/>
  <c r="M108" i="1"/>
  <c r="L108" i="1"/>
  <c r="E108" i="1"/>
  <c r="D108" i="1"/>
  <c r="C108" i="1"/>
  <c r="J108" i="1"/>
  <c r="B108" i="1"/>
  <c r="I108" i="1"/>
  <c r="O107" i="1"/>
  <c r="N107" i="1"/>
  <c r="H107" i="1"/>
  <c r="L107" i="1"/>
  <c r="F107" i="1"/>
  <c r="E107" i="1"/>
  <c r="G107" i="1"/>
  <c r="M106" i="1"/>
  <c r="D107" i="1"/>
  <c r="C107" i="1"/>
  <c r="J107" i="1"/>
  <c r="B107" i="1"/>
  <c r="I107" i="1"/>
  <c r="N106" i="1"/>
  <c r="H106" i="1"/>
  <c r="L106" i="1"/>
  <c r="G106" i="1"/>
  <c r="F106" i="1"/>
  <c r="E106" i="1"/>
  <c r="P105" i="1"/>
  <c r="D106" i="1"/>
  <c r="C106" i="1"/>
  <c r="J106" i="1"/>
  <c r="B106" i="1"/>
  <c r="I106" i="1"/>
  <c r="O105" i="1"/>
  <c r="N105" i="1"/>
  <c r="M105" i="1"/>
  <c r="L105" i="1"/>
  <c r="H105" i="1"/>
  <c r="F105" i="1"/>
  <c r="G105" i="1"/>
  <c r="E105" i="1"/>
  <c r="P104" i="1"/>
  <c r="D105" i="1"/>
  <c r="C105" i="1"/>
  <c r="J105" i="1"/>
  <c r="B105" i="1"/>
  <c r="I105" i="1"/>
  <c r="O104" i="1"/>
  <c r="N104" i="1"/>
  <c r="M104" i="1"/>
  <c r="L104" i="1"/>
  <c r="H104" i="1"/>
  <c r="F104" i="1"/>
  <c r="G104" i="1"/>
  <c r="E104" i="1"/>
  <c r="P103" i="1"/>
  <c r="D104" i="1"/>
  <c r="C104" i="1"/>
  <c r="J104" i="1"/>
  <c r="B104" i="1"/>
  <c r="I104" i="1"/>
  <c r="O103" i="1"/>
  <c r="N103" i="1"/>
  <c r="M103" i="1"/>
  <c r="H103" i="1"/>
  <c r="L103" i="1"/>
  <c r="F103" i="1"/>
  <c r="E103" i="1"/>
  <c r="G103" i="1"/>
  <c r="D103" i="1"/>
  <c r="C103" i="1"/>
  <c r="J103" i="1"/>
  <c r="B103" i="1"/>
  <c r="I103" i="1"/>
  <c r="P102" i="1"/>
  <c r="O102" i="1"/>
  <c r="N102" i="1"/>
  <c r="H102" i="1"/>
  <c r="M102" i="1"/>
  <c r="G102" i="1"/>
  <c r="L102" i="1"/>
  <c r="F102" i="1"/>
  <c r="E102" i="1"/>
  <c r="M101" i="1"/>
  <c r="D102" i="1"/>
  <c r="C102" i="1"/>
  <c r="J102" i="1"/>
  <c r="B102" i="1"/>
  <c r="I102" i="1"/>
  <c r="O101" i="1"/>
  <c r="N101" i="1"/>
  <c r="H101" i="1"/>
  <c r="L101" i="1"/>
  <c r="F101" i="1"/>
  <c r="E101" i="1"/>
  <c r="G101" i="1"/>
  <c r="M100" i="1"/>
  <c r="D101" i="1"/>
  <c r="C101" i="1"/>
  <c r="J101" i="1"/>
  <c r="B101" i="1"/>
  <c r="I101" i="1"/>
  <c r="O100" i="1"/>
  <c r="N100" i="1"/>
  <c r="H100" i="1"/>
  <c r="L100" i="1"/>
  <c r="G100" i="1"/>
  <c r="F100" i="1"/>
  <c r="E100" i="1"/>
  <c r="P99" i="1"/>
  <c r="D100" i="1"/>
  <c r="C100" i="1"/>
  <c r="J100" i="1"/>
  <c r="B100" i="1"/>
  <c r="I100" i="1"/>
  <c r="O99" i="1"/>
  <c r="N99" i="1"/>
  <c r="M99" i="1"/>
  <c r="H99" i="1"/>
  <c r="L99" i="1"/>
  <c r="F99" i="1"/>
  <c r="E99" i="1"/>
  <c r="G99" i="1"/>
  <c r="P98" i="1"/>
  <c r="D99" i="1"/>
  <c r="C99" i="1"/>
  <c r="J99" i="1"/>
  <c r="B99" i="1"/>
  <c r="I99" i="1"/>
  <c r="O98" i="1"/>
  <c r="N98" i="1"/>
  <c r="M98" i="1"/>
  <c r="H98" i="1"/>
  <c r="L98" i="1"/>
  <c r="G98" i="1"/>
  <c r="F98" i="1"/>
  <c r="P97" i="1"/>
  <c r="E98" i="1"/>
  <c r="O97" i="1"/>
  <c r="D98" i="1"/>
  <c r="C98" i="1"/>
  <c r="J98" i="1"/>
  <c r="B98" i="1"/>
  <c r="I98" i="1"/>
  <c r="N97" i="1"/>
  <c r="M97" i="1"/>
  <c r="L97" i="1"/>
  <c r="H97" i="1"/>
  <c r="G97" i="1"/>
  <c r="P96" i="1"/>
  <c r="F97" i="1"/>
  <c r="O96" i="1"/>
  <c r="E97" i="1"/>
  <c r="N96" i="1"/>
  <c r="D97" i="1"/>
  <c r="C97" i="1"/>
  <c r="J97" i="1"/>
  <c r="B97" i="1"/>
  <c r="I97" i="1"/>
  <c r="M96" i="1"/>
  <c r="L96" i="1"/>
  <c r="H96" i="1"/>
  <c r="F96" i="1"/>
  <c r="G96" i="1"/>
  <c r="P95" i="1"/>
  <c r="E96" i="1"/>
  <c r="M95" i="1"/>
  <c r="D96" i="1"/>
  <c r="C96" i="1"/>
  <c r="J96" i="1"/>
  <c r="B96" i="1"/>
  <c r="I96" i="1"/>
  <c r="O95" i="1"/>
  <c r="N95" i="1"/>
  <c r="H95" i="1"/>
  <c r="L95" i="1"/>
  <c r="G95" i="1"/>
  <c r="E95" i="1"/>
  <c r="F95" i="1"/>
  <c r="P94" i="1"/>
  <c r="D95" i="1"/>
  <c r="C95" i="1"/>
  <c r="J95" i="1"/>
  <c r="B95" i="1"/>
  <c r="I95" i="1"/>
  <c r="O94" i="1"/>
  <c r="N94" i="1"/>
  <c r="M94" i="1"/>
  <c r="H94" i="1"/>
  <c r="L94" i="1"/>
  <c r="F94" i="1"/>
  <c r="D94" i="1"/>
  <c r="G94" i="1"/>
  <c r="E94" i="1"/>
  <c r="C94" i="1"/>
  <c r="J94" i="1"/>
  <c r="B94" i="1"/>
  <c r="I94" i="1"/>
  <c r="O93" i="1"/>
  <c r="N93" i="1"/>
  <c r="M93" i="1"/>
  <c r="L93" i="1"/>
  <c r="H93" i="1"/>
  <c r="F93" i="1"/>
  <c r="G93" i="1"/>
  <c r="E93" i="1"/>
  <c r="P92" i="1"/>
  <c r="D93" i="1"/>
  <c r="C93" i="1"/>
  <c r="J93" i="1"/>
  <c r="B93" i="1"/>
  <c r="I93" i="1"/>
  <c r="O92" i="1"/>
  <c r="N92" i="1"/>
  <c r="H92" i="1"/>
  <c r="M92" i="1"/>
  <c r="G92" i="1"/>
  <c r="L92" i="1"/>
  <c r="F92" i="1"/>
  <c r="E92" i="1"/>
  <c r="P91" i="1"/>
  <c r="D92" i="1"/>
  <c r="C92" i="1"/>
  <c r="J92" i="1"/>
  <c r="B92" i="1"/>
  <c r="I92" i="1"/>
  <c r="O91" i="1"/>
  <c r="N91" i="1"/>
  <c r="H91" i="1"/>
  <c r="M91" i="1"/>
  <c r="G91" i="1"/>
  <c r="L91" i="1"/>
  <c r="F91" i="1"/>
  <c r="C91" i="1"/>
  <c r="E91" i="1"/>
  <c r="P90" i="1"/>
  <c r="D91" i="1"/>
  <c r="J91" i="1"/>
  <c r="B91" i="1"/>
  <c r="I91" i="1"/>
  <c r="O90" i="1"/>
  <c r="N90" i="1"/>
  <c r="M90" i="1"/>
  <c r="H90" i="1"/>
  <c r="L90" i="1"/>
  <c r="F90" i="1"/>
  <c r="D90" i="1"/>
  <c r="G90" i="1"/>
  <c r="P89" i="1"/>
  <c r="E90" i="1"/>
  <c r="O89" i="1"/>
  <c r="C90" i="1"/>
  <c r="J90" i="1"/>
  <c r="B90" i="1"/>
  <c r="I90" i="1"/>
  <c r="N89" i="1"/>
  <c r="H89" i="1"/>
  <c r="M89" i="1"/>
  <c r="G89" i="1"/>
  <c r="L89" i="1"/>
  <c r="F89" i="1"/>
  <c r="C89" i="1"/>
  <c r="P88" i="1"/>
  <c r="E89" i="1"/>
  <c r="O88" i="1"/>
  <c r="D89" i="1"/>
  <c r="J89" i="1"/>
  <c r="B89" i="1"/>
  <c r="I89" i="1"/>
  <c r="N88" i="1"/>
  <c r="H88" i="1"/>
  <c r="M88" i="1"/>
  <c r="G88" i="1"/>
  <c r="L88" i="1"/>
  <c r="F88" i="1"/>
  <c r="E88" i="1"/>
  <c r="D88" i="1"/>
  <c r="C88" i="1"/>
  <c r="J88" i="1"/>
  <c r="B88" i="1"/>
  <c r="I88" i="1"/>
  <c r="P87" i="1"/>
  <c r="O87" i="1"/>
  <c r="N87" i="1"/>
  <c r="H87" i="1"/>
  <c r="M87" i="1"/>
  <c r="G87" i="1"/>
  <c r="L87" i="1"/>
  <c r="F87" i="1"/>
  <c r="D87" i="1"/>
  <c r="E87" i="1"/>
  <c r="C87" i="1"/>
  <c r="J87" i="1"/>
  <c r="B87" i="1"/>
  <c r="I87" i="1"/>
  <c r="O86" i="1"/>
  <c r="N86" i="1"/>
  <c r="M86" i="1"/>
  <c r="L86" i="1"/>
  <c r="H86" i="1"/>
  <c r="F86" i="1"/>
  <c r="G86" i="1"/>
  <c r="P85" i="1"/>
  <c r="E86" i="1"/>
  <c r="O85" i="1"/>
  <c r="D86" i="1"/>
  <c r="C86" i="1"/>
  <c r="J86" i="1"/>
  <c r="B86" i="1"/>
  <c r="I86" i="1"/>
  <c r="N85" i="1"/>
  <c r="M85" i="1"/>
  <c r="H85" i="1"/>
  <c r="L85" i="1"/>
  <c r="G85" i="1"/>
  <c r="F85" i="1"/>
  <c r="P84" i="1"/>
  <c r="E85" i="1"/>
  <c r="O84" i="1"/>
  <c r="D85" i="1"/>
  <c r="C85" i="1"/>
  <c r="J85" i="1"/>
  <c r="B85" i="1"/>
  <c r="I85" i="1"/>
  <c r="N84" i="1"/>
  <c r="M84" i="1"/>
  <c r="H84" i="1"/>
  <c r="L84" i="1"/>
  <c r="F84" i="1"/>
  <c r="D84" i="1"/>
  <c r="G84" i="1"/>
  <c r="E84" i="1"/>
  <c r="P83" i="1"/>
  <c r="C84" i="1"/>
  <c r="J84" i="1"/>
  <c r="B84" i="1"/>
  <c r="I84" i="1"/>
  <c r="O83" i="1"/>
  <c r="N83" i="1"/>
  <c r="M83" i="1"/>
  <c r="L83" i="1"/>
  <c r="H83" i="1"/>
  <c r="G83" i="1"/>
  <c r="F83" i="1"/>
  <c r="E83" i="1"/>
  <c r="D83" i="1"/>
  <c r="C83" i="1"/>
  <c r="J83" i="1"/>
  <c r="B83" i="1"/>
  <c r="I83" i="1"/>
  <c r="P82" i="1"/>
  <c r="O82" i="1"/>
  <c r="N82" i="1"/>
  <c r="H82" i="1"/>
  <c r="M82" i="1"/>
  <c r="G82" i="1"/>
  <c r="L82" i="1"/>
  <c r="F82" i="1"/>
  <c r="D82" i="1"/>
  <c r="P81" i="1"/>
  <c r="E82" i="1"/>
  <c r="C82" i="1"/>
  <c r="J82" i="1"/>
  <c r="B82" i="1"/>
  <c r="I82" i="1"/>
  <c r="N81" i="1"/>
  <c r="M81" i="1"/>
  <c r="L81" i="1"/>
  <c r="H81" i="1"/>
  <c r="F81" i="1"/>
  <c r="G81" i="1"/>
  <c r="P80" i="1"/>
  <c r="E81" i="1"/>
  <c r="K80" i="1"/>
  <c r="D81" i="1"/>
  <c r="C81" i="1"/>
  <c r="J81" i="1"/>
  <c r="B81" i="1"/>
  <c r="I81" i="1"/>
  <c r="O80" i="1"/>
  <c r="N80" i="1"/>
  <c r="H80" i="1"/>
  <c r="M80" i="1"/>
  <c r="G80" i="1"/>
  <c r="F80" i="1"/>
  <c r="E80" i="1"/>
  <c r="M79" i="1"/>
  <c r="D80" i="1"/>
  <c r="C80" i="1"/>
  <c r="J80" i="1"/>
  <c r="B80" i="1"/>
  <c r="I80" i="1"/>
  <c r="O79" i="1"/>
  <c r="H79" i="1"/>
  <c r="N79" i="1"/>
  <c r="G79" i="1"/>
  <c r="F79" i="1"/>
  <c r="L79" i="1"/>
  <c r="E79" i="1"/>
  <c r="D79" i="1"/>
  <c r="C79" i="1"/>
  <c r="J79" i="1"/>
  <c r="B79" i="1"/>
  <c r="I79" i="1"/>
  <c r="P78" i="1"/>
  <c r="O78" i="1"/>
  <c r="N78" i="1"/>
  <c r="H78" i="1"/>
  <c r="M78" i="1"/>
  <c r="G78" i="1"/>
  <c r="L78" i="1"/>
  <c r="F78" i="1"/>
  <c r="E78" i="1"/>
  <c r="P77" i="1"/>
  <c r="D78" i="1"/>
  <c r="C78" i="1"/>
  <c r="J78" i="1"/>
  <c r="B78" i="1"/>
  <c r="I78" i="1"/>
  <c r="O77" i="1"/>
  <c r="H77" i="1"/>
  <c r="N77" i="1"/>
  <c r="G77" i="1"/>
  <c r="M77" i="1"/>
  <c r="F77" i="1"/>
  <c r="L77" i="1"/>
  <c r="E77" i="1"/>
  <c r="D77" i="1"/>
  <c r="C77" i="1"/>
  <c r="J77" i="1"/>
  <c r="B77" i="1"/>
  <c r="I77" i="1"/>
  <c r="O76" i="1"/>
  <c r="N76" i="1"/>
  <c r="M76" i="1"/>
  <c r="L76" i="1"/>
  <c r="H76" i="1"/>
  <c r="F76" i="1"/>
  <c r="G76" i="1"/>
  <c r="E76" i="1"/>
  <c r="P75" i="1"/>
  <c r="D76" i="1"/>
  <c r="C76" i="1"/>
  <c r="J76" i="1"/>
  <c r="B76" i="1"/>
  <c r="I76" i="1"/>
  <c r="O75" i="1"/>
  <c r="N75" i="1"/>
  <c r="M75" i="1"/>
  <c r="L75" i="1"/>
  <c r="H75" i="1"/>
  <c r="F75" i="1"/>
  <c r="G75" i="1"/>
  <c r="E75" i="1"/>
  <c r="P74" i="1"/>
  <c r="D75" i="1"/>
  <c r="C75" i="1"/>
  <c r="J75" i="1"/>
  <c r="B75" i="1"/>
  <c r="I75" i="1"/>
  <c r="O74" i="1"/>
  <c r="N74" i="1"/>
  <c r="M74" i="1"/>
  <c r="L74" i="1"/>
  <c r="H74" i="1"/>
  <c r="F74" i="1"/>
  <c r="G74" i="1"/>
  <c r="P73" i="1"/>
  <c r="E74" i="1"/>
  <c r="M73" i="1"/>
  <c r="D74" i="1"/>
  <c r="C74" i="1"/>
  <c r="J74" i="1"/>
  <c r="B74" i="1"/>
  <c r="I74" i="1"/>
  <c r="O73" i="1"/>
  <c r="N73" i="1"/>
  <c r="L73" i="1"/>
  <c r="H73" i="1"/>
  <c r="F73" i="1"/>
  <c r="G73" i="1"/>
  <c r="E73" i="1"/>
  <c r="D73" i="1"/>
  <c r="C73" i="1"/>
  <c r="J73" i="1"/>
  <c r="B73" i="1"/>
  <c r="I73" i="1"/>
  <c r="P72" i="1"/>
  <c r="O72" i="1"/>
  <c r="N72" i="1"/>
  <c r="M72" i="1"/>
  <c r="H72" i="1"/>
  <c r="L72" i="1"/>
  <c r="F72" i="1"/>
  <c r="C72" i="1"/>
  <c r="G72" i="1"/>
  <c r="E72" i="1"/>
  <c r="D72" i="1"/>
  <c r="J72" i="1"/>
  <c r="B72" i="1"/>
  <c r="I72" i="1"/>
  <c r="P71" i="1"/>
  <c r="O71" i="1"/>
  <c r="N71" i="1"/>
  <c r="H71" i="1"/>
  <c r="M71" i="1"/>
  <c r="G71" i="1"/>
  <c r="L71" i="1"/>
  <c r="F71" i="1"/>
  <c r="E71" i="1"/>
  <c r="O70" i="1"/>
  <c r="D71" i="1"/>
  <c r="C71" i="1"/>
  <c r="J71" i="1"/>
  <c r="B71" i="1"/>
  <c r="I71" i="1"/>
  <c r="N70" i="1"/>
  <c r="H70" i="1"/>
  <c r="M70" i="1"/>
  <c r="G70" i="1"/>
  <c r="L70" i="1"/>
  <c r="F70" i="1"/>
  <c r="D70" i="1"/>
  <c r="E70" i="1"/>
  <c r="C70" i="1"/>
  <c r="J70" i="1"/>
  <c r="B70" i="1"/>
  <c r="I70" i="1"/>
  <c r="P69" i="1"/>
  <c r="O69" i="1"/>
  <c r="N69" i="1"/>
  <c r="M69" i="1"/>
  <c r="L69" i="1"/>
  <c r="H69" i="1"/>
  <c r="F69" i="1"/>
  <c r="G69" i="1"/>
  <c r="E69" i="1"/>
  <c r="P68" i="1"/>
  <c r="D69" i="1"/>
  <c r="C69" i="1"/>
  <c r="J69" i="1"/>
  <c r="B69" i="1"/>
  <c r="I69" i="1"/>
  <c r="O68" i="1"/>
  <c r="N68" i="1"/>
  <c r="M68" i="1"/>
  <c r="H68" i="1"/>
  <c r="L68" i="1"/>
  <c r="G68" i="1"/>
  <c r="F68" i="1"/>
  <c r="M67" i="1"/>
  <c r="E68" i="1"/>
  <c r="L67" i="1"/>
  <c r="D68" i="1"/>
  <c r="C68" i="1"/>
  <c r="J68" i="1"/>
  <c r="B68" i="1"/>
  <c r="I68" i="1"/>
  <c r="O67" i="1"/>
  <c r="N67" i="1"/>
  <c r="H67" i="1"/>
  <c r="G67" i="1"/>
  <c r="F67" i="1"/>
  <c r="E67" i="1"/>
  <c r="D67" i="1"/>
  <c r="C67" i="1"/>
  <c r="J67" i="1"/>
  <c r="B67" i="1"/>
  <c r="I67" i="1"/>
  <c r="P66" i="1"/>
  <c r="O66" i="1"/>
  <c r="N66" i="1"/>
  <c r="M66" i="1"/>
  <c r="L66" i="1"/>
  <c r="H66" i="1"/>
  <c r="F66" i="1"/>
  <c r="G66" i="1"/>
  <c r="E66" i="1"/>
  <c r="P65" i="1"/>
  <c r="D66" i="1"/>
  <c r="C66" i="1"/>
  <c r="J66" i="1"/>
  <c r="B66" i="1"/>
  <c r="I66" i="1"/>
  <c r="O65" i="1"/>
  <c r="N65" i="1"/>
  <c r="M65" i="1"/>
  <c r="L65" i="1"/>
  <c r="H65" i="1"/>
  <c r="F65" i="1"/>
  <c r="G65" i="1"/>
  <c r="E65" i="1"/>
  <c r="P64" i="1"/>
  <c r="D65" i="1"/>
  <c r="C65" i="1"/>
  <c r="J65" i="1"/>
  <c r="B65" i="1"/>
  <c r="I65" i="1"/>
  <c r="O64" i="1"/>
  <c r="N64" i="1"/>
  <c r="M64" i="1"/>
  <c r="L64" i="1"/>
  <c r="H64" i="1"/>
  <c r="G64" i="1"/>
  <c r="F64" i="1"/>
  <c r="E64" i="1"/>
  <c r="P63" i="1"/>
  <c r="D64" i="1"/>
  <c r="C64" i="1"/>
  <c r="J64" i="1"/>
  <c r="B64" i="1"/>
  <c r="I64" i="1"/>
  <c r="O63" i="1"/>
  <c r="N63" i="1"/>
  <c r="M63" i="1"/>
  <c r="H63" i="1"/>
  <c r="L63" i="1"/>
  <c r="G63" i="1"/>
  <c r="F63" i="1"/>
  <c r="E63" i="1"/>
  <c r="O62" i="1"/>
  <c r="D63" i="1"/>
  <c r="C63" i="1"/>
  <c r="J63" i="1"/>
  <c r="B63" i="1"/>
  <c r="I63" i="1"/>
  <c r="N62" i="1"/>
  <c r="M62" i="1"/>
  <c r="L62" i="1"/>
  <c r="H62" i="1"/>
  <c r="F62" i="1"/>
  <c r="G62" i="1"/>
  <c r="E62" i="1"/>
  <c r="P61" i="1"/>
  <c r="D62" i="1"/>
  <c r="C62" i="1"/>
  <c r="J62" i="1"/>
  <c r="B62" i="1"/>
  <c r="I62" i="1"/>
  <c r="O61" i="1"/>
  <c r="N61" i="1"/>
  <c r="M61" i="1"/>
  <c r="L61" i="1"/>
  <c r="H61" i="1"/>
  <c r="G61" i="1"/>
  <c r="F61" i="1"/>
  <c r="P60" i="1"/>
  <c r="E61" i="1"/>
  <c r="O60" i="1"/>
  <c r="D61" i="1"/>
  <c r="C61" i="1"/>
  <c r="J61" i="1"/>
  <c r="B61" i="1"/>
  <c r="I61" i="1"/>
  <c r="N60" i="1"/>
  <c r="M60" i="1"/>
  <c r="L60" i="1"/>
  <c r="H60" i="1"/>
  <c r="F60" i="1"/>
  <c r="G60" i="1"/>
  <c r="E60" i="1"/>
  <c r="P59" i="1"/>
  <c r="D60" i="1"/>
  <c r="C60" i="1"/>
  <c r="J60" i="1"/>
  <c r="B60" i="1"/>
  <c r="I60" i="1"/>
  <c r="O59" i="1"/>
  <c r="N59" i="1"/>
  <c r="M59" i="1"/>
  <c r="L59" i="1"/>
  <c r="H59" i="1"/>
  <c r="G59" i="1"/>
  <c r="F59" i="1"/>
  <c r="E59" i="1"/>
  <c r="P58" i="1"/>
  <c r="D59" i="1"/>
  <c r="C59" i="1"/>
  <c r="J59" i="1"/>
  <c r="B59" i="1"/>
  <c r="I59" i="1"/>
  <c r="O58" i="1"/>
  <c r="N58" i="1"/>
  <c r="M58" i="1"/>
  <c r="L58" i="1"/>
  <c r="H58" i="1"/>
  <c r="F58" i="1"/>
  <c r="G58" i="1"/>
  <c r="E58" i="1"/>
  <c r="P57" i="1"/>
  <c r="D58" i="1"/>
  <c r="C58" i="1"/>
  <c r="J58" i="1"/>
  <c r="B58" i="1"/>
  <c r="I58" i="1"/>
  <c r="O57" i="1"/>
  <c r="N57" i="1"/>
  <c r="M57" i="1"/>
  <c r="H57" i="1"/>
  <c r="L57" i="1"/>
  <c r="G57" i="1"/>
  <c r="F57" i="1"/>
  <c r="E57" i="1"/>
  <c r="P56" i="1"/>
  <c r="D57" i="1"/>
  <c r="C57" i="1"/>
  <c r="J57" i="1"/>
  <c r="B57" i="1"/>
  <c r="I57" i="1"/>
  <c r="O56" i="1"/>
  <c r="N56" i="1"/>
  <c r="M56" i="1"/>
  <c r="H56" i="1"/>
  <c r="L56" i="1"/>
  <c r="G56" i="1"/>
  <c r="F56" i="1"/>
  <c r="P55" i="1"/>
  <c r="E56" i="1"/>
  <c r="O55" i="1"/>
  <c r="D56" i="1"/>
  <c r="C56" i="1"/>
  <c r="F55" i="1"/>
  <c r="J56" i="1"/>
  <c r="B56" i="1"/>
  <c r="I56" i="1"/>
  <c r="H55" i="1"/>
  <c r="N55" i="1"/>
  <c r="M55" i="1"/>
  <c r="L55" i="1"/>
  <c r="G55" i="1"/>
  <c r="P54" i="1"/>
  <c r="E55" i="1"/>
  <c r="O54" i="1"/>
  <c r="D55" i="1"/>
  <c r="C55" i="1"/>
  <c r="J55" i="1"/>
  <c r="B55" i="1"/>
  <c r="I55" i="1"/>
  <c r="N54" i="1"/>
  <c r="H54" i="1"/>
  <c r="M54" i="1"/>
  <c r="G54" i="1"/>
  <c r="L54" i="1"/>
  <c r="F54" i="1"/>
  <c r="E54" i="1"/>
  <c r="P53" i="1"/>
  <c r="D54" i="1"/>
  <c r="C54" i="1"/>
  <c r="J54" i="1"/>
  <c r="B54" i="1"/>
  <c r="I54" i="1"/>
  <c r="O53" i="1"/>
  <c r="N53" i="1"/>
  <c r="J53" i="1"/>
  <c r="M53" i="1"/>
  <c r="H53" i="1"/>
  <c r="L53" i="1"/>
  <c r="G53" i="1"/>
  <c r="F53" i="1"/>
  <c r="E53" i="1"/>
  <c r="P52" i="1"/>
  <c r="D53" i="1"/>
  <c r="C53" i="1"/>
  <c r="B53" i="1"/>
  <c r="I53" i="1"/>
  <c r="O52" i="1"/>
  <c r="N52" i="1"/>
  <c r="M52" i="1"/>
  <c r="H52" i="1"/>
  <c r="L52" i="1"/>
  <c r="F52" i="1"/>
  <c r="E52" i="1"/>
  <c r="G52" i="1"/>
  <c r="P51" i="1"/>
  <c r="D52" i="1"/>
  <c r="C52" i="1"/>
  <c r="J52" i="1"/>
  <c r="B52" i="1"/>
  <c r="I52" i="1"/>
  <c r="O51" i="1"/>
  <c r="N51" i="1"/>
  <c r="M51" i="1"/>
  <c r="L51" i="1"/>
  <c r="H51" i="1"/>
  <c r="F51" i="1"/>
  <c r="G51" i="1"/>
  <c r="E51" i="1"/>
  <c r="D51" i="1"/>
  <c r="C51" i="1"/>
  <c r="J51" i="1"/>
  <c r="B51" i="1"/>
  <c r="I51" i="1"/>
  <c r="P50" i="1"/>
  <c r="O50" i="1"/>
  <c r="N50" i="1"/>
  <c r="E50" i="1"/>
  <c r="M50" i="1"/>
  <c r="H50" i="1"/>
  <c r="L50" i="1"/>
  <c r="F50" i="1"/>
  <c r="G50" i="1"/>
  <c r="P49" i="1"/>
  <c r="D50" i="1"/>
  <c r="C50" i="1"/>
  <c r="J50" i="1"/>
  <c r="B50" i="1"/>
  <c r="I50" i="1"/>
  <c r="O49" i="1"/>
  <c r="N49" i="1"/>
  <c r="M49" i="1"/>
  <c r="H49" i="1"/>
  <c r="L49" i="1"/>
  <c r="F49" i="1"/>
  <c r="E49" i="1"/>
  <c r="G49" i="1"/>
  <c r="P48" i="1"/>
  <c r="D49" i="1"/>
  <c r="C49" i="1"/>
  <c r="J49" i="1"/>
  <c r="B49" i="1"/>
  <c r="I49" i="1"/>
  <c r="O48" i="1"/>
  <c r="N48" i="1"/>
  <c r="H48" i="1"/>
  <c r="M48" i="1"/>
  <c r="G48" i="1"/>
  <c r="L48" i="1"/>
  <c r="F48" i="1"/>
  <c r="E48" i="1"/>
  <c r="D48" i="1"/>
  <c r="C48" i="1"/>
  <c r="J48" i="1"/>
  <c r="B48" i="1"/>
  <c r="I48" i="1"/>
  <c r="P47" i="1"/>
  <c r="O47" i="1"/>
  <c r="N47" i="1"/>
  <c r="M47" i="1"/>
  <c r="L47" i="1"/>
  <c r="H47" i="1"/>
  <c r="F47" i="1"/>
  <c r="G47" i="1"/>
  <c r="E47" i="1"/>
  <c r="P46" i="1"/>
  <c r="D47" i="1"/>
  <c r="C47" i="1"/>
  <c r="J47" i="1"/>
  <c r="B47" i="1"/>
  <c r="I47" i="1"/>
  <c r="O46" i="1"/>
  <c r="N46" i="1"/>
  <c r="M46" i="1"/>
  <c r="L46" i="1"/>
  <c r="H46" i="1"/>
  <c r="F46" i="1"/>
  <c r="G46" i="1"/>
  <c r="E46" i="1"/>
  <c r="D46" i="1"/>
  <c r="C46" i="1"/>
  <c r="J46" i="1"/>
  <c r="B46" i="1"/>
  <c r="I46" i="1"/>
  <c r="N45" i="1"/>
  <c r="O45" i="1"/>
  <c r="H45" i="1"/>
  <c r="M45" i="1"/>
  <c r="P45" i="1"/>
  <c r="G45" i="1"/>
  <c r="L45" i="1"/>
  <c r="F45" i="1"/>
  <c r="E45" i="1"/>
  <c r="D45" i="1"/>
  <c r="C45" i="1"/>
  <c r="J45" i="1"/>
  <c r="B45" i="1"/>
  <c r="I45" i="1"/>
  <c r="O44" i="1"/>
  <c r="P44" i="1"/>
  <c r="N44" i="1"/>
  <c r="M44" i="1"/>
  <c r="L44" i="1"/>
  <c r="H44" i="1"/>
  <c r="G44" i="1"/>
  <c r="F44" i="1"/>
  <c r="E44" i="1"/>
  <c r="D44" i="1"/>
  <c r="C44" i="1"/>
  <c r="J44" i="1"/>
  <c r="B44" i="1"/>
  <c r="I44" i="1"/>
  <c r="N43" i="1"/>
  <c r="P43" i="1"/>
  <c r="O43" i="1"/>
  <c r="H43" i="1"/>
  <c r="M43" i="1"/>
  <c r="G43" i="1"/>
  <c r="L43" i="1"/>
  <c r="F43" i="1"/>
  <c r="E43" i="1"/>
  <c r="D43" i="1"/>
  <c r="C43" i="1"/>
  <c r="J43" i="1"/>
  <c r="B43" i="1"/>
  <c r="I43" i="1"/>
  <c r="P42" i="1"/>
  <c r="O42" i="1"/>
  <c r="N42" i="1"/>
  <c r="M42" i="1"/>
  <c r="L42" i="1"/>
  <c r="H42" i="1"/>
  <c r="G42" i="1"/>
  <c r="F42" i="1"/>
  <c r="E42" i="1"/>
  <c r="D42" i="1"/>
  <c r="C42" i="1"/>
  <c r="J42" i="1"/>
  <c r="B42" i="1"/>
  <c r="I42" i="1"/>
  <c r="P41" i="1"/>
  <c r="O41" i="1"/>
  <c r="N41" i="1"/>
  <c r="E41" i="1"/>
  <c r="M41" i="1"/>
  <c r="L41" i="1"/>
  <c r="H41" i="1"/>
  <c r="G41" i="1"/>
  <c r="F41" i="1"/>
  <c r="P40" i="1"/>
  <c r="D41" i="1"/>
  <c r="C41" i="1"/>
  <c r="J41" i="1"/>
  <c r="B41" i="1"/>
  <c r="I41" i="1"/>
  <c r="N40" i="1"/>
  <c r="M40" i="1"/>
  <c r="O40" i="1"/>
  <c r="L40" i="1"/>
  <c r="H40" i="1"/>
  <c r="G40" i="1"/>
  <c r="F40" i="1"/>
  <c r="E40" i="1"/>
  <c r="D40" i="1"/>
  <c r="C40" i="1"/>
  <c r="J40" i="1"/>
  <c r="B40" i="1"/>
  <c r="I40" i="1"/>
  <c r="O39" i="1"/>
  <c r="P39" i="1"/>
  <c r="N39" i="1"/>
  <c r="M39" i="1"/>
  <c r="L39" i="1"/>
  <c r="H39" i="1"/>
  <c r="G39" i="1"/>
  <c r="F39" i="1"/>
  <c r="E39" i="1"/>
  <c r="D39" i="1"/>
  <c r="C39" i="1"/>
  <c r="J39" i="1"/>
  <c r="B39" i="1"/>
  <c r="I39" i="1"/>
  <c r="O38" i="1"/>
  <c r="N38" i="1"/>
  <c r="P38" i="1"/>
  <c r="M38" i="1"/>
  <c r="L38" i="1"/>
  <c r="H38" i="1"/>
  <c r="F38" i="1"/>
  <c r="E38" i="1"/>
  <c r="P37" i="1"/>
  <c r="D38" i="1"/>
  <c r="C38" i="1"/>
  <c r="G38" i="1"/>
  <c r="J38" i="1"/>
  <c r="B38" i="1"/>
  <c r="I38" i="1"/>
  <c r="O37" i="1"/>
  <c r="N37" i="1"/>
  <c r="M37" i="1"/>
  <c r="H37" i="1"/>
  <c r="L37" i="1"/>
  <c r="G37" i="1"/>
  <c r="F37" i="1"/>
  <c r="P36" i="1"/>
  <c r="E37" i="1"/>
  <c r="O36" i="1"/>
  <c r="D37" i="1"/>
  <c r="C37" i="1"/>
  <c r="J37" i="1"/>
  <c r="B37" i="1"/>
  <c r="I37" i="1"/>
  <c r="N36" i="1"/>
  <c r="M36" i="1"/>
  <c r="L36" i="1"/>
  <c r="H36" i="1"/>
  <c r="G36" i="1"/>
  <c r="E36" i="1"/>
  <c r="P35" i="1"/>
  <c r="D36" i="1"/>
  <c r="C36" i="1"/>
  <c r="J36" i="1"/>
  <c r="B36" i="1"/>
  <c r="F36" i="1"/>
  <c r="I36" i="1"/>
  <c r="O35" i="1"/>
  <c r="N35" i="1"/>
  <c r="M35" i="1"/>
  <c r="L35" i="1"/>
  <c r="H35" i="1"/>
  <c r="G35" i="1"/>
  <c r="E35" i="1"/>
  <c r="F35" i="1"/>
  <c r="D35" i="1"/>
  <c r="C35" i="1"/>
  <c r="J35" i="1"/>
  <c r="B35" i="1"/>
  <c r="I35" i="1"/>
  <c r="P34" i="1"/>
  <c r="O34" i="1"/>
  <c r="N34" i="1"/>
  <c r="M34" i="1"/>
  <c r="L34" i="1"/>
  <c r="H34" i="1"/>
  <c r="G34" i="1"/>
  <c r="E34" i="1"/>
  <c r="P33" i="1"/>
  <c r="D34" i="1"/>
  <c r="C34" i="1"/>
  <c r="J34" i="1"/>
  <c r="B34" i="1"/>
  <c r="F34" i="1"/>
  <c r="I34" i="1"/>
  <c r="O33" i="1"/>
  <c r="N33" i="1"/>
  <c r="M33" i="1"/>
  <c r="L33" i="1"/>
  <c r="F33" i="1"/>
  <c r="H33" i="1"/>
  <c r="G33" i="1"/>
  <c r="E33" i="1"/>
  <c r="D33" i="1"/>
  <c r="C33" i="1"/>
  <c r="J33" i="1"/>
  <c r="B33" i="1"/>
  <c r="I33" i="1"/>
  <c r="N32" i="1"/>
  <c r="O32" i="1"/>
  <c r="M32" i="1"/>
  <c r="P32" i="1"/>
  <c r="L32" i="1"/>
  <c r="G32" i="1"/>
  <c r="F32" i="1"/>
  <c r="H32" i="1"/>
  <c r="E32" i="1"/>
  <c r="D32" i="1"/>
  <c r="C32" i="1"/>
  <c r="J32" i="1"/>
  <c r="B32" i="1"/>
  <c r="I32" i="1"/>
  <c r="P31" i="1"/>
  <c r="O31" i="1"/>
  <c r="N31" i="1"/>
  <c r="M31" i="1"/>
  <c r="L31" i="1"/>
  <c r="H31" i="1"/>
  <c r="D31" i="1"/>
  <c r="C31" i="1"/>
  <c r="G31" i="1"/>
  <c r="F31" i="1"/>
  <c r="J31" i="1"/>
  <c r="B31" i="1"/>
  <c r="E31" i="1"/>
  <c r="I31" i="1"/>
  <c r="O30" i="1"/>
  <c r="P30" i="1"/>
  <c r="N30" i="1"/>
  <c r="H30" i="1"/>
  <c r="M30" i="1"/>
  <c r="G30" i="1"/>
  <c r="L30" i="1"/>
  <c r="F30" i="1"/>
  <c r="E30" i="1"/>
  <c r="D30" i="1"/>
  <c r="C30" i="1"/>
  <c r="J30" i="1"/>
  <c r="B30" i="1"/>
  <c r="I30" i="1"/>
  <c r="P29" i="1"/>
  <c r="O29" i="1"/>
  <c r="N29" i="1"/>
  <c r="M29" i="1"/>
  <c r="F29" i="1"/>
  <c r="H29" i="1"/>
  <c r="L29" i="1"/>
  <c r="G29" i="1"/>
  <c r="E29" i="1"/>
  <c r="D29" i="1"/>
  <c r="C29" i="1"/>
  <c r="J29" i="1"/>
  <c r="B29" i="1"/>
  <c r="I29" i="1"/>
  <c r="N28" i="1"/>
  <c r="M28" i="1"/>
  <c r="F28" i="1"/>
  <c r="P28" i="1"/>
  <c r="O28" i="1"/>
  <c r="H28" i="1"/>
  <c r="L28" i="1"/>
  <c r="G28" i="1"/>
  <c r="E28" i="1"/>
  <c r="D28" i="1"/>
  <c r="C28" i="1"/>
  <c r="J28" i="1"/>
  <c r="B28" i="1"/>
  <c r="I28" i="1"/>
  <c r="O27" i="1"/>
  <c r="N27" i="1"/>
  <c r="M27" i="1"/>
  <c r="L27" i="1"/>
  <c r="P27" i="1"/>
  <c r="H27" i="1"/>
  <c r="G27" i="1"/>
  <c r="E27" i="1"/>
  <c r="D27" i="1"/>
  <c r="C27" i="1"/>
  <c r="F27" i="1"/>
  <c r="J27" i="1"/>
  <c r="B27" i="1"/>
  <c r="I27" i="1"/>
  <c r="D26" i="1"/>
  <c r="N26" i="1"/>
  <c r="O26" i="1"/>
  <c r="M26" i="1"/>
  <c r="P26" i="1"/>
  <c r="L26" i="1"/>
  <c r="H26" i="1"/>
  <c r="F26" i="1"/>
  <c r="G26" i="1"/>
  <c r="E26" i="1"/>
  <c r="C26" i="1"/>
  <c r="J26" i="1"/>
  <c r="B26" i="1"/>
  <c r="I26" i="1"/>
  <c r="N25" i="1"/>
  <c r="M25" i="1"/>
  <c r="P25" i="1"/>
  <c r="L25" i="1"/>
  <c r="O25" i="1"/>
  <c r="G25" i="1"/>
  <c r="H25" i="1"/>
  <c r="F25" i="1"/>
  <c r="E25" i="1"/>
  <c r="P24" i="1"/>
  <c r="D25" i="1"/>
  <c r="C25" i="1"/>
  <c r="J25" i="1"/>
  <c r="B25" i="1"/>
  <c r="I25" i="1"/>
  <c r="O24" i="1"/>
  <c r="N24" i="1"/>
  <c r="M24" i="1"/>
  <c r="L24" i="1"/>
  <c r="H24" i="1"/>
  <c r="G24" i="1"/>
  <c r="D24" i="1"/>
  <c r="C24" i="1"/>
  <c r="F24" i="1"/>
  <c r="E24" i="1"/>
  <c r="J24" i="1"/>
  <c r="B24" i="1"/>
  <c r="I24" i="1"/>
  <c r="O23" i="1"/>
  <c r="P23" i="1"/>
  <c r="N23" i="1"/>
  <c r="M23" i="1"/>
  <c r="L23" i="1"/>
  <c r="G23" i="1"/>
  <c r="D23" i="1"/>
  <c r="C23" i="1"/>
  <c r="F23" i="1"/>
  <c r="J23" i="1"/>
  <c r="B23" i="1"/>
  <c r="H23" i="1"/>
  <c r="E23" i="1"/>
  <c r="I23" i="1"/>
  <c r="O22" i="1"/>
  <c r="E22" i="1"/>
  <c r="N22" i="1"/>
  <c r="H22" i="1"/>
  <c r="M22" i="1"/>
  <c r="L22" i="1"/>
  <c r="P22" i="1"/>
  <c r="G22" i="1"/>
  <c r="F22" i="1"/>
  <c r="D22" i="1"/>
  <c r="C22" i="1"/>
  <c r="J22" i="1"/>
  <c r="B22" i="1"/>
  <c r="I22" i="1"/>
  <c r="O21" i="1"/>
  <c r="M21" i="1"/>
  <c r="L21" i="1"/>
  <c r="P21" i="1"/>
  <c r="N21" i="1"/>
  <c r="G21" i="1"/>
  <c r="E21" i="1"/>
  <c r="F21" i="1"/>
  <c r="D21" i="1"/>
  <c r="H21" i="1"/>
  <c r="C21" i="1"/>
  <c r="J21" i="1"/>
  <c r="B21" i="1"/>
  <c r="I21" i="1"/>
  <c r="N20" i="1"/>
  <c r="M20" i="1"/>
  <c r="P20" i="1"/>
  <c r="L20" i="1"/>
  <c r="O20" i="1"/>
  <c r="F20" i="1"/>
  <c r="E20" i="1"/>
  <c r="H20" i="1"/>
  <c r="G20" i="1"/>
  <c r="D20" i="1"/>
  <c r="C20" i="1"/>
  <c r="J20" i="1"/>
  <c r="B20" i="1"/>
  <c r="I20" i="1"/>
  <c r="O19" i="1"/>
  <c r="M19" i="1"/>
  <c r="N19" i="1"/>
  <c r="L19" i="1"/>
  <c r="P19" i="1"/>
  <c r="H19" i="1"/>
  <c r="G19" i="1"/>
  <c r="F19" i="1"/>
  <c r="E19" i="1"/>
  <c r="D19" i="1"/>
  <c r="C19" i="1"/>
  <c r="J19" i="1"/>
  <c r="B19" i="1"/>
  <c r="I19" i="1"/>
  <c r="D18" i="1"/>
  <c r="P18" i="1"/>
  <c r="O18" i="1"/>
  <c r="N18" i="1"/>
  <c r="M18" i="1"/>
  <c r="L18" i="1"/>
  <c r="G18" i="1"/>
  <c r="F18" i="1"/>
  <c r="E18" i="1"/>
  <c r="C18" i="1"/>
  <c r="J18" i="1"/>
  <c r="B18" i="1"/>
  <c r="H18" i="1"/>
  <c r="I18" i="1"/>
  <c r="O17" i="1"/>
  <c r="N17" i="1"/>
  <c r="P17" i="1"/>
  <c r="L17" i="1"/>
  <c r="M17" i="1"/>
  <c r="G17" i="1"/>
  <c r="E17" i="1"/>
  <c r="H17" i="1"/>
  <c r="D17" i="1"/>
  <c r="C17" i="1"/>
  <c r="F17" i="1"/>
  <c r="J17" i="1"/>
  <c r="B17" i="1"/>
  <c r="I17" i="1"/>
  <c r="O16" i="1"/>
  <c r="M16" i="1"/>
  <c r="L16" i="1"/>
  <c r="P16" i="1"/>
  <c r="N16" i="1"/>
  <c r="F16" i="1"/>
  <c r="D16" i="1"/>
  <c r="H16" i="1"/>
  <c r="C16" i="1"/>
  <c r="J16" i="1"/>
  <c r="B16" i="1"/>
  <c r="G16" i="1"/>
  <c r="E16" i="1"/>
  <c r="I16" i="1"/>
  <c r="M15" i="1"/>
  <c r="P15" i="1"/>
  <c r="N15" i="1"/>
  <c r="L15" i="1"/>
  <c r="O15" i="1"/>
  <c r="D15" i="1"/>
  <c r="C15" i="1"/>
  <c r="H15" i="1"/>
  <c r="G15" i="1"/>
  <c r="F15" i="1"/>
  <c r="E15" i="1"/>
  <c r="J15" i="1"/>
  <c r="B15" i="1"/>
  <c r="I15" i="1"/>
  <c r="O14" i="1"/>
  <c r="P14" i="1"/>
  <c r="N14" i="1"/>
  <c r="M14" i="1"/>
  <c r="L14" i="1"/>
  <c r="H14" i="1"/>
  <c r="G14" i="1"/>
  <c r="E14" i="1"/>
  <c r="D14" i="1"/>
  <c r="C14" i="1"/>
  <c r="F14" i="1"/>
  <c r="J14" i="1"/>
  <c r="B14" i="1"/>
  <c r="I14" i="1"/>
  <c r="O13" i="1"/>
  <c r="N13" i="1"/>
  <c r="P13" i="1"/>
  <c r="M13" i="1"/>
  <c r="L13" i="1"/>
  <c r="H13" i="1"/>
  <c r="F13" i="1"/>
  <c r="E13" i="1"/>
  <c r="D13" i="1"/>
  <c r="C13" i="1"/>
  <c r="B13" i="1"/>
  <c r="G13" i="1"/>
  <c r="J13" i="1"/>
  <c r="I13" i="1"/>
  <c r="N12" i="1"/>
  <c r="M12" i="1"/>
  <c r="L12" i="1"/>
  <c r="P12" i="1"/>
  <c r="O12" i="1"/>
  <c r="G12" i="1"/>
  <c r="C12" i="1"/>
  <c r="B12" i="1"/>
  <c r="H12" i="1"/>
  <c r="F12" i="1"/>
  <c r="E12" i="1"/>
  <c r="D12" i="1"/>
  <c r="J12" i="1"/>
  <c r="I12" i="1"/>
  <c r="N11" i="1"/>
  <c r="O11" i="1"/>
  <c r="M11" i="1"/>
  <c r="L11" i="1"/>
  <c r="P11" i="1"/>
  <c r="G11" i="1"/>
  <c r="E11" i="1"/>
  <c r="D11" i="1"/>
  <c r="C11" i="1"/>
  <c r="J11" i="1"/>
  <c r="B11" i="1"/>
  <c r="H11" i="1"/>
  <c r="F11" i="1"/>
  <c r="I11" i="1"/>
  <c r="O10" i="1"/>
  <c r="N10" i="1"/>
  <c r="P10" i="1"/>
  <c r="M10" i="1"/>
  <c r="L10" i="1"/>
  <c r="D10" i="1"/>
  <c r="H10" i="1"/>
  <c r="G10" i="1"/>
  <c r="F10" i="1"/>
  <c r="C10" i="1"/>
  <c r="E10" i="1"/>
  <c r="B10" i="1"/>
  <c r="J10" i="1"/>
  <c r="I10" i="1"/>
  <c r="O9" i="1"/>
  <c r="N9" i="1"/>
  <c r="M9" i="1"/>
  <c r="L9" i="1"/>
  <c r="P9" i="1"/>
  <c r="A9" i="1"/>
  <c r="H9" i="1"/>
  <c r="G9" i="1"/>
  <c r="I9" i="1"/>
  <c r="F9" i="1"/>
  <c r="E9" i="1"/>
  <c r="D9" i="1"/>
  <c r="C9" i="1"/>
  <c r="J9" i="1"/>
  <c r="P8" i="1"/>
  <c r="O8" i="1"/>
  <c r="N8" i="1"/>
  <c r="L8" i="1"/>
  <c r="M8" i="1"/>
  <c r="F8" i="1"/>
  <c r="D8" i="1"/>
  <c r="C8" i="1"/>
  <c r="H8" i="1"/>
  <c r="G8" i="1"/>
  <c r="E8" i="1"/>
  <c r="B8" i="1"/>
  <c r="J8" i="1"/>
  <c r="I8" i="1"/>
  <c r="N7" i="1"/>
  <c r="M7" i="1"/>
  <c r="P7" i="1"/>
  <c r="O7" i="1"/>
  <c r="L7" i="1"/>
  <c r="D7" i="1"/>
  <c r="H7" i="1"/>
  <c r="G7" i="1"/>
  <c r="F7" i="1"/>
  <c r="E7" i="1"/>
  <c r="B7" i="1"/>
  <c r="C7" i="1"/>
  <c r="J7" i="1"/>
  <c r="I7" i="1"/>
  <c r="L6" i="1"/>
  <c r="P6" i="1"/>
  <c r="O6" i="1"/>
  <c r="N6" i="1"/>
  <c r="M6" i="1"/>
  <c r="E6" i="1"/>
  <c r="G6" i="1"/>
  <c r="F6" i="1"/>
  <c r="D6" i="1"/>
  <c r="C6" i="1"/>
  <c r="H6" i="1"/>
  <c r="B6" i="1"/>
  <c r="J6" i="1"/>
  <c r="I6" i="1"/>
  <c r="N5" i="1"/>
  <c r="P5" i="1"/>
  <c r="O5" i="1"/>
  <c r="M5" i="1"/>
  <c r="L5" i="1"/>
  <c r="C5" i="1"/>
  <c r="B5" i="1"/>
  <c r="H5" i="1"/>
  <c r="G5" i="1"/>
  <c r="F5" i="1"/>
  <c r="E5" i="1"/>
  <c r="D5" i="1"/>
  <c r="J5" i="1"/>
  <c r="I5" i="1"/>
  <c r="N4" i="1"/>
  <c r="M4" i="1"/>
  <c r="P4" i="1"/>
  <c r="L4" i="1"/>
  <c r="O4" i="1"/>
  <c r="G4" i="1"/>
  <c r="H4" i="1"/>
  <c r="F4" i="1"/>
  <c r="C4" i="1"/>
  <c r="J4" i="1"/>
  <c r="B4" i="1"/>
  <c r="E4" i="1"/>
  <c r="D4" i="1"/>
  <c r="I4" i="1"/>
  <c r="P3" i="1"/>
  <c r="L3" i="1"/>
  <c r="O3" i="1"/>
  <c r="N3" i="1"/>
  <c r="M3" i="1"/>
  <c r="H3" i="1"/>
  <c r="B3" i="1"/>
  <c r="G3" i="1"/>
  <c r="F3" i="1"/>
  <c r="E3" i="1"/>
  <c r="D3" i="1"/>
  <c r="C3" i="1"/>
  <c r="J3" i="1"/>
  <c r="I3" i="1"/>
  <c r="P2" i="1"/>
  <c r="O2" i="1"/>
  <c r="N2" i="1"/>
  <c r="M2" i="1"/>
  <c r="L2" i="1"/>
  <c r="G2" i="1"/>
  <c r="J2" i="1"/>
  <c r="I2" i="1"/>
  <c r="H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<sst xmlns="http://schemas.openxmlformats.org/spreadsheetml/2006/main" count="16" uniqueCount="16">
  <si>
    <t>商品</t>
  </si>
  <si>
    <t>買進</t>
  </si>
  <si>
    <t>賣出</t>
  </si>
  <si>
    <t>成交</t>
  </si>
  <si>
    <t>漲跌</t>
  </si>
  <si>
    <t>漲幅%</t>
  </si>
  <si>
    <t>單量</t>
  </si>
  <si>
    <t>總量</t>
  </si>
  <si>
    <t>委買</t>
  </si>
  <si>
    <t>委賣</t>
  </si>
  <si>
    <t>昨收</t>
  </si>
  <si>
    <t>內外盤比圖</t>
  </si>
  <si>
    <t>均價</t>
  </si>
  <si>
    <t>股本</t>
  </si>
  <si>
    <t>盈餘</t>
  </si>
  <si>
    <t>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</si>
</sst>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XQLITE" ddeTopic="Quote">
    <ddeItems>
      <ddeItem name="1442.TW-Name,Bid,Ask,Price,PriceChange,PriceChangeRatio,Volume,TotalVolume,BestBidSize,BestAskSize" advise="1">
        <values cols="10">
          <value t="str">
            <val>名軒</val>
          </value>
          <value>
            <val>29.1</val>
          </value>
          <value>
            <val>29.7</val>
          </value>
          <value>
            <val>29.7</val>
          </value>
          <value>
            <val>0.7</val>
          </value>
          <value>
            <val>2.41</val>
          </value>
          <value>
            <val>337</val>
          </value>
          <value>
            <val>2431</val>
          </value>
          <value>
            <val>3</val>
          </value>
          <value>
            <val>3</val>
          </value>
        </values>
      </ddeItem>
      <ddeItem name="1442.TW-PreClose,InOutRatio,AvgPrice,Capital,Profit,MarketValue" advise="1">
        <values cols="6">
          <value>
            <val>29</val>
          </value>
          <value>
            <val>53.07</val>
          </value>
          <value>
            <val>29.29</val>
          </value>
          <value>
            <val>36.619999999999997</val>
          </value>
          <value>
            <val>0.53</val>
          </value>
          <value>
            <val>108.8</val>
          </value>
        </values>
      </ddeItem>
      <ddeItem name="1455.TW-Name,Bid,Ask,Price,PriceChange,PriceChangeRatio,Volume,TotalVolume,BestBidSize,BestAskSize" advise="1">
        <values cols="10">
          <value t="str">
            <val>集盛</val>
          </value>
          <value>
            <val>8.9600000000000009</val>
          </value>
          <value>
            <val>8.9700000000000006</val>
          </value>
          <value>
            <val>8.9700000000000006</val>
          </value>
          <value>
            <val>-0.05</val>
          </value>
          <value>
            <val>-0.55000000000000004</val>
          </value>
          <value>
            <val>16</val>
          </value>
          <value>
            <val>927</val>
          </value>
          <value>
            <val>2</val>
          </value>
          <value>
            <val>6</val>
          </value>
        </values>
      </ddeItem>
      <ddeItem name="1455.TW-PreClose,InOutRatio,AvgPrice,Capital,Profit,MarketValue" advise="1">
        <values cols="6">
          <value>
            <val>9.02</val>
          </value>
          <value>
            <val>34.9</val>
          </value>
          <value>
            <val>8.89</val>
          </value>
          <value>
            <val>53.17</val>
          </value>
          <value>
            <val>-0.33</val>
          </value>
          <value>
            <val>47.7</val>
          </value>
        </values>
      </ddeItem>
      <ddeItem name="1590.TW-Name,Bid,Ask,Price,PriceChange,PriceChangeRatio,Volume,TotalVolume,BestBidSize,BestAskSize" advise="1">
        <values cols="10">
          <value t="str">
            <val>亞德客-KY</val>
          </value>
          <value>
            <val>1275</val>
          </value>
          <value>
            <val>1280</val>
          </value>
          <value>
            <val>1275</val>
          </value>
          <value>
            <val>20</val>
          </value>
          <value>
            <val>1.59</val>
          </value>
          <value>
            <val>198</val>
          </value>
          <value>
            <val>1841</val>
          </value>
          <value>
            <val>7</val>
          </value>
          <value>
            <val>24</val>
          </value>
        </values>
      </ddeItem>
      <ddeItem name="1590.TW-PreClose,InOutRatio,AvgPrice,Capital,Profit,MarketValue" advise="1">
        <values cols="6">
          <value>
            <val>1255</val>
          </value>
          <value>
            <val>54.76</val>
          </value>
          <value>
            <val>1291.5899999999999</val>
          </value>
          <value>
            <val>20</val>
          </value>
          <value>
            <val>11.64</val>
          </value>
          <value>
            <val>2550</val>
          </value>
        </values>
      </ddeItem>
      <ddeItem name="1626.TW-Name,Bid,Ask,Price,PriceChange,PriceChangeRatio,Volume,TotalVolume,BestBidSize,BestAskSize" advise="1">
        <values cols="10">
          <value t="str">
            <val>艾美特-KY</val>
          </value>
          <value>
            <val>11.35</val>
          </value>
          <value>
            <val>11.45</val>
          </value>
          <value>
            <val>11.35</val>
          </value>
          <value>
            <val>-0.65</val>
          </value>
          <value>
            <val>-5.42</val>
          </value>
          <value>
            <val>31</val>
          </value>
          <value>
            <val>572</val>
          </value>
          <value>
            <val>214</val>
          </value>
          <value>
            <val>1</val>
          </value>
        </values>
      </ddeItem>
      <ddeItem name="1626.TW-PreClose,InOutRatio,AvgPrice,Capital,Profit,MarketValue" advise="1">
        <values cols="6">
          <value>
            <val>12</val>
          </value>
          <value>
            <val>38.93</val>
          </value>
          <value>
            <val>11.57</val>
          </value>
          <value>
            <val>14.98</val>
          </value>
          <value>
            <val>-0.56000000000000005</val>
          </value>
          <value>
            <val>17</val>
          </value>
        </values>
      </ddeItem>
      <ddeItem name="1711.TW-Name,Bid,Ask,Price,PriceChange,PriceChangeRatio,Volume,TotalVolume,BestBidSize,BestAskSize" advise="1">
        <values cols="10">
          <value t="str">
            <val>永光</val>
          </value>
          <value>
            <val>52.7</val>
          </value>
          <value t="str">
            <val>--</val>
          </value>
          <value>
            <val>52.7</val>
          </value>
          <value>
            <val>4.75</val>
          </value>
          <value>
            <val>9.91</val>
          </value>
          <value>
            <val>63</val>
          </value>
          <value>
            <val>9637</val>
          </value>
          <value>
            <val>52082</val>
          </value>
          <value>
            <val>0</val>
          </value>
        </values>
      </ddeItem>
      <ddeItem name="1711.TW-PreClose,InOutRatio,AvgPrice,Capital,Profit,MarketValue" advise="1">
        <values cols="6">
          <value>
            <val>47.95</val>
          </value>
          <value>
            <val>99</val>
          </value>
          <value>
            <val>52.66</val>
          </value>
          <value>
            <val>54.78</val>
          </value>
          <value>
            <val>-0.04</val>
          </value>
          <value>
            <val>288.7</val>
          </value>
        </values>
      </ddeItem>
      <ddeItem name="1717.TW-Name,Bid,Ask,Price,PriceChange,PriceChangeRatio,Volume,TotalVolume,BestBidSize,BestAskSize" advise="1">
        <values cols="10">
          <value t="str">
            <val>長興</val>
          </value>
          <value>
            <val>79.900000000000006</val>
          </value>
          <value>
            <val>80</val>
          </value>
          <value>
            <val>79.900000000000006</val>
          </value>
          <value>
            <val>-1.1000000000000001</val>
          </value>
          <value>
            <val>-1.36</val>
          </value>
          <value>
            <val>3735</val>
          </value>
          <value>
            <val>118910</val>
          </value>
          <value>
            <val>15</val>
          </value>
          <value>
            <val>221</val>
          </value>
        </values>
      </ddeItem>
      <ddeItem name="1717.TW-PreClose,InOutRatio,AvgPrice,Capital,Profit,MarketValue" advise="1">
        <values cols="6">
          <value>
            <val>81</val>
          </value>
          <value>
            <val>43.72</val>
          </value>
          <value>
            <val>82.27</val>
          </value>
          <value>
            <val>117.22</val>
          </value>
          <value>
            <val>0.32</val>
          </value>
          <value>
            <val>936.6</val>
          </value>
        </values>
      </ddeItem>
      <ddeItem name="1721.TW-Name,Bid,Ask,Price,PriceChange,PriceChangeRatio,Volume,TotalVolume,BestBidSize,BestAskSize" advise="1">
        <values cols="10">
          <value t="str">
            <val>三晃</val>
          </value>
          <value>
            <val>22.55</val>
          </value>
          <value t="str">
            <val>--</val>
          </value>
          <value>
            <val>22.55</val>
          </value>
          <value>
            <val>2.0499999999999998</val>
          </value>
          <value>
            <val>10</val>
          </value>
          <value>
            <val>40</val>
          </value>
          <value>
            <val>6726</val>
          </value>
          <value>
            <val>1531</val>
          </value>
          <value>
            <val>0</val>
          </value>
        </values>
      </ddeItem>
      <ddeItem name="1721.TW-PreClose,InOutRatio,AvgPrice,Capital,Profit,MarketValue" advise="1">
        <values cols="6">
          <value>
            <val>20.5</val>
          </value>
          <value>
            <val>93.75</val>
          </value>
          <value>
            <val>22.41</val>
          </value>
          <value>
            <val>18.489999999999998</val>
          </value>
          <value>
            <val>-0.71</val>
          </value>
          <value>
            <val>41.7</val>
          </value>
        </values>
      </ddeItem>
      <ddeItem name="1785.TW-Name,Bid,Ask,Price,PriceChange,PriceChangeRatio,Volume,TotalVolume,BestBidSize,BestAskSize" advise="1">
        <values cols="10">
          <value t="str">
            <val>光洋科</val>
          </value>
          <value>
            <val>153</val>
          </value>
          <value>
            <val>153.5</val>
          </value>
          <value>
            <val>153.5</val>
          </value>
          <value>
            <val>-2.5</val>
          </value>
          <value>
            <val>-1.6</val>
          </value>
          <value>
            <val>918</val>
          </value>
          <value>
            <val>15558</val>
          </value>
          <value>
            <val>96</val>
          </value>
          <value>
            <val>251</val>
          </value>
        </values>
      </ddeItem>
      <ddeItem name="1785.TW-PreClose,InOutRatio,AvgPrice,Capital,Profit,MarketValue" advise="1">
        <values cols="6">
          <value>
            <val>156</val>
          </value>
          <value>
            <val>31.14</val>
          </value>
          <value>
            <val>155.65</val>
          </value>
          <value>
            <val>59.6</val>
          </value>
          <value>
            <val>1.87</val>
          </value>
          <value>
            <val>914.9</val>
          </value>
        </values>
      </ddeItem>
      <ddeItem name="1802.TW-Name,Bid,Ask,Price,PriceChange,PriceChangeRatio,Volume,TotalVolume,BestBidSize,BestAskSize" advise="1">
        <values cols="10">
          <value t="str">
            <val>台玻</val>
          </value>
          <value>
            <val>70.900000000000006</val>
          </value>
          <value>
            <val>71</val>
          </value>
          <value>
            <val>70.900000000000006</val>
          </value>
          <value>
            <val>-3.3</val>
          </value>
          <value>
            <val>-4.45</val>
          </value>
          <value>
            <val>8959</val>
          </value>
          <value>
            <val>260419</val>
          </value>
          <value>
            <val>183</val>
          </value>
          <value>
            <val>311</val>
          </value>
        </values>
      </ddeItem>
      <ddeItem name="1802.TW-PreClose,InOutRatio,AvgPrice,Capital,Profit,MarketValue" advise="1">
        <values cols="6">
          <value>
            <val>74.2</val>
          </value>
          <value>
            <val>37.200000000000003</val>
          </value>
          <value>
            <val>73.180000000000007</val>
          </value>
          <value>
            <val>290.81</val>
          </value>
          <value>
            <val>0.13</val>
          </value>
          <value>
            <val>2061.8000000000002</val>
          </value>
        </values>
      </ddeItem>
      <ddeItem name="1815.TW-Name,Bid,Ask,Price,PriceChange,PriceChangeRatio,Volume,TotalVolume,BestBidSize,BestAskSize" advise="1">
        <values cols="10">
          <value t="str">
            <val>富喬</val>
          </value>
          <value>
            <val>118</val>
          </value>
          <value>
            <val>118.5</val>
          </value>
          <value>
            <val>118</val>
          </value>
          <value>
            <val>-9</val>
          </value>
          <value>
            <val>-7.09</val>
          </value>
          <value>
            <val>3014</val>
          </value>
          <value>
            <val>118730</val>
          </value>
          <value>
            <val>1551</val>
          </value>
          <value>
            <val>287</val>
          </value>
        </values>
      </ddeItem>
      <ddeItem name="1815.TW-PreClose,InOutRatio,AvgPrice,Capital,Profit,MarketValue" advise="1">
        <values cols="6">
          <value>
            <val>127</val>
          </value>
          <value>
            <val>38.840000000000003</val>
          </value>
          <value>
            <val>121.95</val>
          </value>
          <value>
            <val>58.55</val>
          </value>
          <value>
            <val>0.84</val>
          </value>
          <value>
            <val>690.2</val>
          </value>
        </values>
      </ddeItem>
      <ddeItem name="2049.TW-Name,Bid,Ask,Price,PriceChange,PriceChangeRatio,Volume,TotalVolume,BestBidSize,BestAskSize" advise="1">
        <values cols="10">
          <value t="str">
            <val>上銀</val>
          </value>
          <value>
            <val>293.5</val>
          </value>
          <value>
            <val>294</val>
          </value>
          <value>
            <val>293.5</val>
          </value>
          <value>
            <val>2.5</val>
          </value>
          <value>
            <val>0.86</val>
          </value>
          <value>
            <val>290</val>
          </value>
          <value>
            <val>9857</val>
          </value>
          <value>
            <val>12</val>
          </value>
          <value>
            <val>27</val>
          </value>
        </values>
      </ddeItem>
      <ddeItem name="2049.TW-PreClose,InOutRatio,AvgPrice,Capital,Profit,MarketValue" advise="1">
        <values cols="6">
          <value>
            <val>291</val>
          </value>
          <value>
            <val>47.67</val>
          </value>
          <value>
            <val>295.99</val>
          </value>
          <value>
            <val>35.380000000000003</val>
          </value>
          <value>
            <val>1.31</val>
          </value>
          <value>
            <val>1038.4000000000001</val>
          </value>
        </values>
      </ddeItem>
      <ddeItem name="2059.TW-Name,Bid,Ask,Price,PriceChange,PriceChangeRatio,Volume,TotalVolume,BestBidSize,BestAskSize" advise="1">
        <values cols="10">
          <value t="str">
            <val>川湖</val>
          </value>
          <value>
            <val>3740</val>
          </value>
          <value>
            <val>3745</val>
          </value>
          <value>
            <val>3745</val>
          </value>
          <value>
            <val>105</val>
          </value>
          <value>
            <val>2.88</val>
          </value>
          <value>
            <val>58</val>
          </value>
          <value>
            <val>744</val>
          </value>
          <value>
            <val>1</val>
          </value>
          <value>
            <val>2</val>
          </value>
        </values>
      </ddeItem>
      <ddeItem name="2059.TW-PreClose,InOutRatio,AvgPrice,Capital,Profit,MarketValue" advise="1">
        <values cols="6">
          <value>
            <val>3640</val>
          </value>
          <value>
            <val>58.1</val>
          </value>
          <value>
            <val>3726.72</val>
          </value>
          <value>
            <val>9.5299999999999994</val>
          </value>
          <value>
            <val>36.880000000000003</val>
          </value>
          <value>
            <val>3568.9</val>
          </value>
        </values>
      </ddeItem>
      <ddeItem name="2070.TW-Name,Bid,Ask,Price,PriceChange,PriceChangeRatio,Volume,TotalVolume,BestBidSize,BestAskSize" advise="1">
        <values cols="10">
          <value t="str">
            <val>精湛</val>
          </value>
          <value>
            <val>50.2</val>
          </value>
          <value t="str">
            <val>--</val>
          </value>
          <value>
            <val>50.2</val>
          </value>
          <value>
            <val>4.55</val>
          </value>
          <value>
            <val>9.9700000000000006</val>
          </value>
          <value>
            <val>2</val>
          </value>
          <value>
            <val>1120</val>
          </value>
          <value>
            <val>272</val>
          </value>
          <value>
            <val>0</val>
          </value>
        </values>
      </ddeItem>
      <ddeItem name="2070.TW-PreClose,InOutRatio,AvgPrice,Capital,Profit,MarketValue" advise="1">
        <values cols="6">
          <value>
            <val>45.65</val>
          </value>
          <value>
            <val>77.31</val>
          </value>
          <value>
            <val>50.06</val>
          </value>
          <value>
            <val>4.18</val>
          </value>
          <value>
            <val>1.05</val>
          </value>
          <value>
            <val>21</val>
          </value>
        </values>
      </ddeItem>
      <ddeItem name="2302.TW-Name,Bid,Ask,Price,PriceChange,PriceChangeRatio,Volume,TotalVolume,BestBidSize,BestAskSize" advise="1">
        <values cols="10">
          <value t="str">
            <val>麗正</val>
          </value>
          <value>
            <val>18.899999999999999</val>
          </value>
          <value>
            <val>19</val>
          </value>
          <value>
            <val>18.899999999999999</val>
          </value>
          <value>
            <val>-0.5</val>
          </value>
          <value>
            <val>-2.58</val>
          </value>
          <value>
            <val>77</val>
          </value>
          <value>
            <val>1704</val>
          </value>
          <value>
            <val>24</val>
          </value>
          <value>
            <val>1</val>
          </value>
        </values>
      </ddeItem>
      <ddeItem name="2302.TW-PreClose,InOutRatio,AvgPrice,Capital,Profit,MarketValue" advise="1">
        <values cols="6">
          <value>
            <val>19.399999999999999</val>
          </value>
          <value>
            <val>31.91</val>
          </value>
          <value>
            <val>19.34</val>
          </value>
          <value>
            <val>16.63</val>
          </value>
          <value>
            <val>0.09</val>
          </value>
          <value>
            <val>31.4</val>
          </value>
        </values>
      </ddeItem>
      <ddeItem name="2303.TW-Name,Bid,Ask,Price,PriceChange,PriceChangeRatio,Volume,TotalVolume,BestBidSize,BestAskSize" advise="1">
        <values cols="10">
          <value t="str">
            <val>聯電</val>
          </value>
          <value>
            <val>76.8</val>
          </value>
          <value>
            <val>76.900000000000006</val>
          </value>
          <value>
            <val>76.900000000000006</val>
          </value>
          <value>
            <val>3.9</val>
          </value>
          <value>
            <val>5.34</val>
          </value>
          <value>
            <val>14120</val>
          </value>
          <value>
            <val>348728</val>
          </value>
          <value>
            <val>1357</val>
          </value>
          <value>
            <val>21</val>
          </value>
        </values>
      </ddeItem>
      <ddeItem name="2303.TW-PreClose,InOutRatio,AvgPrice,Capital,Profit,MarketValue" advise="1">
        <values cols="6">
          <value>
            <val>73</val>
          </value>
          <value>
            <val>55.14</val>
          </value>
          <value>
            <val>78.22</val>
          </value>
          <value>
            <val>1257.8499999999999</val>
          </value>
          <value>
            <val>0.81</val>
          </value>
          <value>
            <val>9672.9</val>
          </value>
        </values>
      </ddeItem>
      <ddeItem name="2338.TW-Name,Bid,Ask,Price,PriceChange,PriceChangeRatio,Volume,TotalVolume,BestBidSize,BestAskSize" advise="1">
        <values cols="10">
          <value t="str">
            <val>光罩</val>
          </value>
          <value>
            <val>49.9</val>
          </value>
          <value>
            <val>49.95</val>
          </value>
          <value>
            <val>49.9</val>
          </value>
          <value>
            <val>-1</val>
          </value>
          <value>
            <val>-1.96</val>
          </value>
          <value>
            <val>511</val>
          </value>
          <value>
            <val>22959</val>
          </value>
          <value>
            <val>195</val>
          </value>
          <value>
            <val>12</val>
          </value>
        </values>
      </ddeItem>
      <ddeItem name="2338.TW-PreClose,InOutRatio,AvgPrice,Capital,Profit,MarketValue" advise="1">
        <values cols="6">
          <value>
            <val>50.9</val>
          </value>
          <value>
            <val>42.11</val>
          </value>
          <value>
            <val>51.14</val>
          </value>
          <value>
            <val>36.68</val>
          </value>
          <value>
            <val>-1.51</val>
          </value>
          <value>
            <val>183.1</val>
          </value>
        </values>
      </ddeItem>
      <ddeItem name="2351.TW-Name,Bid,Ask,Price,PriceChange,PriceChangeRatio,Volume,TotalVolume,BestBidSize,BestAskSize" advise="1">
        <values cols="10">
          <value t="str">
            <val>順德</val>
          </value>
          <value>
            <val>141.5</val>
          </value>
          <value t="str">
            <val>--</val>
          </value>
          <value>
            <val>141.5</val>
          </value>
          <value>
            <val>12.5</val>
          </value>
          <value>
            <val>9.69</val>
          </value>
          <value>
            <val>9</val>
          </value>
          <value>
            <val>5456</val>
          </value>
          <value>
            <val>6008</val>
          </value>
          <value>
            <val>0</val>
          </value>
        </values>
      </ddeItem>
      <ddeItem name="2351.TW-PreClose,InOutRatio,AvgPrice,Capital,Profit,MarketValue" advise="1">
        <values cols="6">
          <value>
            <val>129</val>
          </value>
          <value>
            <val>85.49</val>
          </value>
          <value>
            <val>140.55000000000001</val>
          </value>
          <value>
            <val>18.21</val>
          </value>
          <value>
            <val>0.8</val>
          </value>
          <value>
            <val>257.7</val>
          </value>
        </values>
      </ddeItem>
      <ddeItem name="2360.TW-Name,Bid,Ask,Price,PriceChange,PriceChangeRatio,Volume,TotalVolume,BestBidSize,BestAskSize" advise="1">
        <values cols="10">
          <value t="str">
            <val>致茂</val>
          </value>
          <value>
            <val>2045</val>
          </value>
          <value>
            <val>2050</val>
          </value>
          <value>
            <val>2050</val>
          </value>
          <value>
            <val>-205</val>
          </value>
          <value>
            <val>-9.09</val>
          </value>
          <value>
            <val>308</val>
          </value>
          <value>
            <val>7988</val>
          </value>
          <value>
            <val>28</val>
          </value>
          <value>
            <val>34</val>
          </value>
        </values>
      </ddeItem>
      <ddeItem name="2360.TW-PreClose,InOutRatio,AvgPrice,Capital,Profit,MarketValue" advise="1">
        <values cols="6">
          <value>
            <val>2255</val>
          </value>
          <value>
            <val>46.55</val>
          </value>
          <value>
            <val>2080.65</val>
          </value>
          <value>
            <val>42.52</val>
          </value>
          <value>
            <val>6.04</val>
          </value>
          <value>
            <val>8717.5</val>
          </value>
        </values>
      </ddeItem>
      <ddeItem name="2363.TW-Name,Bid,Ask,Price,PriceChange,PriceChangeRatio,Volume,TotalVolume,BestBidSize,BestAskSize" advise="1">
        <values cols="10">
          <value t="str">
            <val>矽統</val>
          </value>
          <value>
            <val>55.5</val>
          </value>
          <value>
            <val>55.6</val>
          </value>
          <value>
            <val>55.6</val>
          </value>
          <value>
            <val>1.2</val>
          </value>
          <value>
            <val>2.21</val>
          </value>
          <value>
            <val>796</val>
          </value>
          <value>
            <val>26757</val>
          </value>
          <value>
            <val>59</val>
          </value>
          <value>
            <val>67</val>
          </value>
        </values>
      </ddeItem>
      <ddeItem name="2363.TW-PreClose,InOutRatio,AvgPrice,Capital,Profit,MarketValue" advise="1">
        <values cols="6">
          <value>
            <val>54.4</val>
          </value>
          <value>
            <val>52.17</val>
          </value>
          <value>
            <val>57.18</val>
          </value>
          <value>
            <val>51.5</val>
          </value>
          <value>
            <val>7.0000000000000007E-2</val>
          </value>
          <value>
            <val>286.3</val>
          </value>
        </values>
      </ddeItem>
      <ddeItem name="2365.TW-Name,Bid,Ask,Price,PriceChange,PriceChangeRatio,Volume,TotalVolume,BestBidSize,BestAskSize" advise="1">
        <values cols="10">
          <value t="str">
            <val>昆盈</val>
          </value>
          <value>
            <val>35.15</val>
          </value>
          <value>
            <val>35.200000000000003</val>
          </value>
          <value>
            <val>35.15</val>
          </value>
          <value>
            <val>0.25</val>
          </value>
          <value>
            <val>0.72</val>
          </value>
          <value>
            <val>221</val>
          </value>
          <value>
            <val>11883</val>
          </value>
          <value>
            <val>18</val>
          </value>
          <value>
            <val>53</val>
          </value>
        </values>
      </ddeItem>
      <ddeItem name="2365.TW-PreClose,InOutRatio,AvgPrice,Capital,Profit,MarketValue" advise="1">
        <values cols="6">
          <value>
            <val>34.9</val>
          </value>
          <value>
            <val>54.11</val>
          </value>
          <value>
            <val>35.57</val>
          </value>
          <value>
            <val>22.15</val>
          </value>
          <value>
            <val>0.1</val>
          </value>
          <value>
            <val>77.900000000000006</val>
          </value>
        </values>
      </ddeItem>
      <ddeItem name="2388.TW-Name,Bid,Ask,Price,PriceChange,PriceChangeRatio,Volume,TotalVolume,BestBidSize,BestAskSize" advise="1">
        <values cols="10">
          <value t="str">
            <val>威盛</val>
          </value>
          <value>
            <val>66.2</val>
          </value>
          <value>
            <val>66.3</val>
          </value>
          <value>
            <val>66.2</val>
          </value>
          <value>
            <val>0.9</val>
          </value>
          <value>
            <val>1.38</val>
          </value>
          <value>
            <val>708</val>
          </value>
          <value>
            <val>21008</val>
          </value>
          <value>
            <val>38</val>
          </value>
          <value>
            <val>51</val>
          </value>
        </values>
      </ddeItem>
      <ddeItem name="2388.TW-PreClose,InOutRatio,AvgPrice,Capital,Profit,MarketValue" advise="1">
        <values cols="6">
          <value>
            <val>65.3</val>
          </value>
          <value>
            <val>48.54</val>
          </value>
          <value>
            <val>65.209999999999994</val>
          </value>
          <value>
            <val>55.59</val>
          </value>
          <value>
            <val>1.22</val>
          </value>
          <value>
            <val>367.9</val>
          </value>
        </values>
      </ddeItem>
      <ddeItem name="2401.TW-Name,Bid,Ask,Price,PriceChange,PriceChangeRatio,Volume,TotalVolume,BestBidSize,BestAskSize" advise="1">
        <values cols="10">
          <value t="str">
            <val>凌陽</val>
          </value>
          <value>
            <val>24.2</val>
          </value>
          <value>
            <val>24.25</val>
          </value>
          <value>
            <val>24.2</val>
          </value>
          <value>
            <val>0.55000000000000004</val>
          </value>
          <value>
            <val>2.33</val>
          </value>
          <value>
            <val>474</val>
          </value>
          <value>
            <val>28404</val>
          </value>
          <value>
            <val>36</val>
          </value>
          <value>
            <val>50</val>
          </value>
        </values>
      </ddeItem>
      <ddeItem name="2401.TW-PreClose,InOutRatio,AvgPrice,Capital,Profit,MarketValue" advise="1">
        <values cols="6">
          <value>
            <val>23.65</val>
          </value>
          <value>
            <val>57.8</val>
          </value>
          <value>
            <val>24.95</val>
          </value>
          <value>
            <val>59.2</val>
          </value>
          <value>
            <val>-0.11</val>
          </value>
          <value>
            <val>143.30000000000001</val>
          </value>
        </values>
      </ddeItem>
      <ddeItem name="2402.TW-Name,Bid,Ask,Price,PriceChange,PriceChangeRatio,Volume,TotalVolume,BestBidSize,BestAskSize" advise="1">
        <values cols="10">
          <value t="str">
            <val>毅嘉</val>
          </value>
          <value>
            <val>77.3</val>
          </value>
          <value>
            <val>77.400000000000006</val>
          </value>
          <value>
            <val>77.3</val>
          </value>
          <value>
            <val>-0.4</val>
          </value>
          <value>
            <val>-0.51</val>
          </value>
          <value>
            <val>2168</val>
          </value>
          <value>
            <val>64273</val>
          </value>
          <value>
            <val>123</val>
          </value>
          <value>
            <val>45</val>
          </value>
        </values>
      </ddeItem>
      <ddeItem name="2402.TW-PreClose,InOutRatio,AvgPrice,Capital,Profit,MarketValue" advise="1">
        <values cols="6">
          <value>
            <val>77.7</val>
          </value>
          <value>
            <val>40.11</val>
          </value>
          <value>
            <val>76.599999999999994</val>
          </value>
          <value>
            <val>30.75</val>
          </value>
          <value>
            <val>0.61</val>
          </value>
          <value>
            <val>237.7</val>
          </value>
        </values>
      </ddeItem>
      <ddeItem name="2404.TW-Name,Bid,Ask,Price,PriceChange,PriceChangeRatio,Volume,TotalVolume,BestBidSize,BestAskSize" advise="1">
        <values cols="10">
          <value t="str">
            <val>漢唐</val>
          </value>
          <value>
            <val>1025</val>
          </value>
          <value>
            <val>1030</val>
          </value>
          <value>
            <val>1025</val>
          </value>
          <value>
            <val>0</val>
          </value>
          <value>
            <val>0</val>
          </value>
          <value>
            <val>476</val>
          </value>
          <value>
            <val>6457</val>
          </value>
          <value>
            <val>156</val>
          </value>
          <value>
            <val>72</val>
          </value>
        </values>
      </ddeItem>
      <ddeItem name="2404.TW-PreClose,InOutRatio,AvgPrice,Capital,Profit,MarketValue" advise="1">
        <values cols="6">
          <value>
            <val>1025</val>
          </value>
          <value>
            <val>52.49</val>
          </value>
          <value>
            <val>1032.22</val>
          </value>
          <value>
            <val>19.059999999999999</val>
          </value>
          <value>
            <val>14.02</val>
          </value>
          <value>
            <val>1953.5</val>
          </value>
        </values>
      </ddeItem>
      <ddeItem name="2444.TW-Name,Bid,Ask,Price,PriceChange,PriceChangeRatio,Volume,TotalVolume,BestBidSize,BestAskSize" advise="1">
        <values cols="10">
          <value t="str">
            <val>兆勁</val>
          </value>
          <value>
            <val>13.6</val>
          </value>
          <value>
            <val>13.7</val>
          </value>
          <value>
            <val>13.6</val>
          </value>
          <value>
            <val>-0.3</val>
          </value>
          <value>
            <val>-2.16</val>
          </value>
          <value>
            <val>74</val>
          </value>
          <value>
            <val>1751</val>
          </value>
          <value>
            <val>30</val>
          </value>
          <value>
            <val>4</val>
          </value>
        </values>
      </ddeItem>
      <ddeItem name="2444.TW-PreClose,InOutRatio,AvgPrice,Capital,Profit,MarketValue" advise="1">
        <values cols="6">
          <value>
            <val>13.9</val>
          </value>
          <value>
            <val>41.67</val>
          </value>
          <value>
            <val>13.86</val>
          </value>
          <value>
            <val>10.16</val>
          </value>
          <value>
            <val>-0.36</val>
          </value>
          <value>
            <val>13.8</val>
          </value>
        </values>
      </ddeItem>
      <ddeItem name="2455.TW-Name,Bid,Ask,Price,PriceChange,PriceChangeRatio,Volume,TotalVolume,BestBidSize,BestAskSize" advise="1">
        <values cols="10">
          <value t="str">
            <val>全新</val>
          </value>
          <value>
            <val>332</val>
          </value>
          <value>
            <val>333</val>
          </value>
          <value>
            <val>333</val>
          </value>
          <value>
            <val>22.5</val>
          </value>
          <value>
            <val>7.25</val>
          </value>
          <value>
            <val>120</val>
          </value>
          <value>
            <val>2797</val>
          </value>
          <value>
            <val>7</val>
          </value>
          <value>
            <val>8</val>
          </value>
        </values>
      </ddeItem>
      <ddeItem name="2455.TW-PreClose,InOutRatio,AvgPrice,Capital,Profit,MarketValue" advise="1">
        <values cols="6">
          <value>
            <val>310.5</val>
          </value>
          <value>
            <val>35.65</val>
          </value>
          <value>
            <val>328.32</val>
          </value>
          <value>
            <val>18.489999999999998</val>
          </value>
          <value>
            <val>1.05</val>
          </value>
          <value>
            <val>615.70000000000005</val>
          </value>
        </values>
      </ddeItem>
      <ddeItem name="2462.TW-Name,Bid,Ask,Price,PriceChange,PriceChangeRatio,Volume,TotalVolume,BestBidSize,BestAskSize" advise="1">
        <values cols="10">
          <value t="str">
            <val>良得電</val>
          </value>
          <value>
            <val>22.6</val>
          </value>
          <value>
            <val>22.65</val>
          </value>
          <value>
            <val>22.65</val>
          </value>
          <value>
            <val>-0.1</val>
          </value>
          <value>
            <val>-0.44</val>
          </value>
          <value>
            <val>8</val>
          </value>
          <value>
            <val>456</val>
          </value>
          <value>
            <val>8</val>
          </value>
          <value>
            <val>1</val>
          </value>
        </values>
      </ddeItem>
      <ddeItem name="2462.TW-PreClose,InOutRatio,AvgPrice,Capital,Profit,MarketValue" advise="1">
        <values cols="6">
          <value>
            <val>22.75</val>
          </value>
          <value>
            <val>32.51</val>
          </value>
          <value>
            <val>22.71</val>
          </value>
          <value>
            <val>15.08</val>
          </value>
          <value>
            <val>0.26</val>
          </value>
          <value>
            <val>34.200000000000003</val>
          </value>
        </values>
      </ddeItem>
      <ddeItem name="2464.TW-Name,Bid,Ask,Price,PriceChange,PriceChangeRatio,Volume,TotalVolume,BestBidSize,BestAskSize" advise="1">
        <values cols="10">
          <value t="str">
            <val>盟立</val>
          </value>
          <value>
            <val>86.9</val>
          </value>
          <value t="str">
            <val>--</val>
          </value>
          <value>
            <val>86.9</val>
          </value>
          <value>
            <val>7.9</val>
          </value>
          <value>
            <val>10</val>
          </value>
          <value>
            <val>10</val>
          </value>
          <value>
            <val>19312</val>
          </value>
          <value>
            <val>11956</val>
          </value>
          <value>
            <val>0</val>
          </value>
        </values>
      </ddeItem>
      <ddeItem name="2464.TW-PreClose,InOutRatio,AvgPrice,Capital,Profit,MarketValue" advise="1">
        <values cols="6">
          <value>
            <val>79</val>
          </value>
          <value>
            <val>84.67</val>
          </value>
          <value>
            <val>86.18</val>
          </value>
          <value>
            <val>20.64</val>
          </value>
          <value>
            <val>-0.26</val>
          </value>
          <value>
            <val>179.3</val>
          </value>
        </values>
      </ddeItem>
      <ddeItem name="2472.TW-Name,Bid,Ask,Price,PriceChange,PriceChangeRatio,Volume,TotalVolume,BestBidSize,BestAskSize" advise="1">
        <values cols="10">
          <value t="str">
            <val>立隆電</val>
          </value>
          <value>
            <val>183</val>
          </value>
          <value>
            <val>183.5</val>
          </value>
          <value>
            <val>183</val>
          </value>
          <value>
            <val>-1.5</val>
          </value>
          <value>
            <val>-0.81</val>
          </value>
          <value>
            <val>175</val>
          </value>
          <value>
            <val>3708</val>
          </value>
          <value>
            <val>16</val>
          </value>
          <value>
            <val>48</val>
          </value>
        </values>
      </ddeItem>
      <ddeItem name="2472.TW-PreClose,InOutRatio,AvgPrice,Capital,Profit,MarketValue" advise="1">
        <values cols="6">
          <value>
            <val>184.5</val>
          </value>
          <value>
            <val>41.3</val>
          </value>
          <value>
            <val>184.7</val>
          </value>
          <value>
            <val>16.47</val>
          </value>
          <value>
            <val>3.54</val>
          </value>
          <value>
            <val>301.5</val>
          </value>
        </values>
      </ddeItem>
      <ddeItem name="2474.TW-Name,Bid,Ask,Price,PriceChange,PriceChangeRatio,Volume,TotalVolume,BestBidSize,BestAskSize" advise="1">
        <values cols="10">
          <value t="str">
            <val>可成</val>
          </value>
          <value>
            <val>206.5</val>
          </value>
          <value>
            <val>207</val>
          </value>
          <value>
            <val>206.5</val>
          </value>
          <value>
            <val>-10.5</val>
          </value>
          <value>
            <val>-4.84</val>
          </value>
          <value>
            <val>509</val>
          </value>
          <value>
            <val>8472</val>
          </value>
          <value>
            <val>86</val>
          </value>
          <value>
            <val>38</val>
          </value>
        </values>
      </ddeItem>
      <ddeItem name="2474.TW-PreClose,InOutRatio,AvgPrice,Capital,Profit,MarketValue" advise="1">
        <values cols="6">
          <value>
            <val>217</val>
          </value>
          <value>
            <val>37.75</val>
          </value>
          <value>
            <val>207.68</val>
          </value>
          <value>
            <val>56.14</val>
          </value>
          <value>
            <val>3.77</val>
          </value>
          <value>
            <val>1222.8</val>
          </value>
        </values>
      </ddeItem>
      <ddeItem name="2476.TW-Name,Bid,Ask,Price,PriceChange,PriceChangeRatio,Volume,TotalVolume,BestBidSize,BestAskSize" advise="1">
        <values cols="10">
          <value t="str">
            <val>鉅祥</val>
          </value>
          <value>
            <val>121.5</val>
          </value>
          <value>
            <val>122</val>
          </value>
          <value>
            <val>121.5</val>
          </value>
          <value>
            <val>6.5</val>
          </value>
          <value>
            <val>5.65</val>
          </value>
          <value>
            <val>568</val>
          </value>
          <value>
            <val>13106</val>
          </value>
          <value>
            <val>19</val>
          </value>
          <value>
            <val>194</val>
          </value>
        </values>
      </ddeItem>
      <ddeItem name="2476.TW-PreClose,InOutRatio,AvgPrice,Capital,Profit,MarketValue" advise="1">
        <values cols="6">
          <value>
            <val>115</val>
          </value>
          <value>
            <val>54.89</val>
          </value>
          <value>
            <val>121.35</val>
          </value>
          <value>
            <val>21.81</val>
          </value>
          <value>
            <val>1.66</val>
          </value>
          <value>
            <val>264.60000000000002</val>
          </value>
        </values>
      </ddeItem>
      <ddeItem name="2478.TW-Name,Bid,Ask,Price,PriceChange,PriceChangeRatio,Volume,TotalVolume,BestBidSize,BestAskSize" advise="1">
        <values cols="10">
          <value t="str">
            <val>大毅</val>
          </value>
          <value>
            <val>75.3</val>
          </value>
          <value>
            <val>75.400000000000006</val>
          </value>
          <value>
            <val>75.400000000000006</val>
          </value>
          <value>
            <val>-1.8</val>
          </value>
          <value>
            <val>-2.33</val>
          </value>
          <value>
            <val>275</val>
          </value>
          <value>
            <val>6305</val>
          </value>
          <value>
            <val>9</val>
          </value>
          <value>
            <val>24</val>
          </value>
        </values>
      </ddeItem>
      <ddeItem name="2478.TW-PreClose,InOutRatio,AvgPrice,Capital,Profit,MarketValue" advise="1">
        <values cols="6">
          <value>
            <val>77.2</val>
          </value>
          <value>
            <val>42.2</val>
          </value>
          <value>
            <val>75.3</val>
          </value>
          <value>
            <val>14.47</val>
          </value>
          <value>
            <val>0.91</val>
          </value>
          <value>
            <val>109.1</val>
          </value>
        </values>
      </ddeItem>
      <ddeItem name="2481.TW-Name,Bid,Ask,Price,PriceChange,PriceChangeRatio,Volume,TotalVolume,BestBidSize,BestAskSize" advise="1">
        <values cols="10">
          <value t="str">
            <val>強茂</val>
          </value>
          <value>
            <val>110</val>
          </value>
          <value>
            <val>110.5</val>
          </value>
          <value>
            <val>110</val>
          </value>
          <value>
            <val>-8</val>
          </value>
          <value>
            <val>-6.78</val>
          </value>
          <value>
            <val>1378</val>
          </value>
          <value>
            <val>64359</val>
          </value>
          <value>
            <val>312</val>
          </value>
          <value>
            <val>158</val>
          </value>
        </values>
      </ddeItem>
      <ddeItem name="2481.TW-PreClose,InOutRatio,AvgPrice,Capital,Profit,MarketValue" advise="1">
        <values cols="6">
          <value>
            <val>118</val>
          </value>
          <value>
            <val>44.64</val>
          </value>
          <value>
            <val>113.38</val>
          </value>
          <value>
            <val>38.21</val>
          </value>
          <value>
            <val>0.94</val>
          </value>
          <value>
            <val>420.3</val>
          </value>
        </values>
      </ddeItem>
      <ddeItem name="2484.TW-Name,Bid,Ask,Price,PriceChange,PriceChangeRatio,Volume,TotalVolume,BestBidSize,BestAskSize" advise="1">
        <values cols="10">
          <value t="str">
            <val>希華</val>
          </value>
          <value>
            <val>46.6</val>
          </value>
          <value t="str">
            <val>--</val>
          </value>
          <value>
            <val>46.6</val>
          </value>
          <value>
            <val>4.2</val>
          </value>
          <value>
            <val>9.91</val>
          </value>
          <value>
            <val>25</val>
          </value>
          <value>
            <val>27452</val>
          </value>
          <value>
            <val>1462</val>
          </value>
          <value>
            <val>0</val>
          </value>
        </values>
      </ddeItem>
      <ddeItem name="2484.TW-PreClose,InOutRatio,AvgPrice,Capital,Profit,MarketValue" advise="1">
        <values cols="6">
          <value>
            <val>42.4</val>
          </value>
          <value>
            <val>67.84</val>
          </value>
          <value>
            <val>46.15</val>
          </value>
          <value>
            <val>15.94</val>
          </value>
          <value>
            <val>0.39</val>
          </value>
          <value>
            <val>74.3</val>
          </value>
        </values>
      </ddeItem>
      <ddeItem name="2491.TW-Name,Bid,Ask,Price,PriceChange,PriceChangeRatio,Volume,TotalVolume,BestBidSize,BestAskSize" advise="1">
        <values cols="10">
          <value t="str">
            <val>吉祥全</val>
          </value>
          <value>
            <val>16.399999999999999</val>
          </value>
          <value>
            <val>16.45</val>
          </value>
          <value>
            <val>16.399999999999999</val>
          </value>
          <value>
            <val>-0.6</val>
          </value>
          <value>
            <val>-3.53</val>
          </value>
          <value>
            <val>9</val>
          </value>
          <value>
            <val>349</val>
          </value>
          <value>
            <val>9</val>
          </value>
          <value>
            <val>3</val>
          </value>
        </values>
      </ddeItem>
      <ddeItem name="2491.TW-PreClose,InOutRatio,AvgPrice,Capital,Profit,MarketValue" advise="1">
        <values cols="6">
          <value>
            <val>17</val>
          </value>
          <value>
            <val>32.119999999999997</val>
          </value>
          <value>
            <val>16.55</val>
          </value>
          <value>
            <val>8.1999999999999993</val>
          </value>
          <value>
            <val>0.94</val>
          </value>
          <value>
            <val>13.4</val>
          </value>
        </values>
      </ddeItem>
      <ddeItem name="2597.TW-Name,Bid,Ask,Price,PriceChange,PriceChangeRatio,Volume,TotalVolume,BestBidSize,BestAskSize" advise="1">
        <values cols="10">
          <value t="str">
            <val>潤弘</val>
          </value>
          <value>
            <val>157.5</val>
          </value>
          <value>
            <val>158</val>
          </value>
          <value>
            <val>158</val>
          </value>
          <value>
            <val>-7.5</val>
          </value>
          <value>
            <val>-4.53</val>
          </value>
          <value>
            <val>64</val>
          </value>
          <value>
            <val>1200</val>
          </value>
          <value>
            <val>35</val>
          </value>
          <value>
            <val>8</val>
          </value>
        </values>
      </ddeItem>
      <ddeItem name="2597.TW-PreClose,InOutRatio,AvgPrice,Capital,Profit,MarketValue" advise="1">
        <values cols="6">
          <value>
            <val>165.5</val>
          </value>
          <value>
            <val>38.44</val>
          </value>
          <value>
            <val>158.91999999999999</val>
          </value>
          <value>
            <val>31.07</val>
          </value>
          <value>
            <val>3.5</val>
          </value>
          <value>
            <val>490.9</val>
          </value>
        </values>
      </ddeItem>
      <ddeItem name="2702.TW-Name,Bid,Ask,Price,PriceChange,PriceChangeRatio,Volume,TotalVolume,BestBidSize,BestAskSize" advise="1">
        <values cols="10">
          <value t="str">
            <val>華園</val>
          </value>
          <value>
            <val>16.05</val>
          </value>
          <value>
            <val>16.100000000000001</val>
          </value>
          <value>
            <val>16.05</val>
          </value>
          <value>
            <val>-1.75</val>
          </value>
          <value>
            <val>-9.83</val>
          </value>
          <value>
            <val>9</val>
          </value>
          <value>
            <val>1097</val>
          </value>
          <value>
            <val>3</val>
          </value>
          <value>
            <val>1</val>
          </value>
        </values>
      </ddeItem>
      <ddeItem name="2702.TW-PreClose,InOutRatio,AvgPrice,Capital,Profit,MarketValue" advise="1">
        <values cols="6">
          <value>
            <val>17.8</val>
          </value>
          <value>
            <val>21.24</val>
          </value>
          <value>
            <val>16.760000000000002</val>
          </value>
          <value>
            <val>15.66</val>
          </value>
          <value>
            <val>0.26</val>
          </value>
          <value>
            <val>25.1</val>
          </value>
        </values>
      </ddeItem>
      <ddeItem name="2705.TW-Name,Bid,Ask,Price,PriceChange,PriceChangeRatio,Volume,TotalVolume,BestBidSize,BestAskSize" advise="1">
        <values cols="10">
          <value t="str">
            <val>六福</val>
          </value>
          <value>
            <val>17.649999999999999</val>
          </value>
          <value>
            <val>17.75</val>
          </value>
          <value>
            <val>17.7</val>
          </value>
          <value>
            <val>0.1</val>
          </value>
          <value>
            <val>0.56999999999999995</val>
          </value>
          <value>
            <val>25</val>
          </value>
          <value>
            <val>534</val>
          </value>
          <value>
            <val>5</val>
          </value>
          <value>
            <val>49</val>
          </value>
        </values>
      </ddeItem>
      <ddeItem name="2705.TW-PreClose,InOutRatio,AvgPrice,Capital,Profit,MarketValue" advise="1">
        <values cols="6">
          <value>
            <val>17.600000000000001</val>
          </value>
          <value>
            <val>47.94</val>
          </value>
          <value>
            <val>17.510000000000002</val>
          </value>
          <value>
            <val>19.13</val>
          </value>
          <value>
            <val>1.32</val>
          </value>
          <value>
            <val>33</val>
          </value>
        </values>
      </ddeItem>
      <ddeItem name="3011.TW-Name,Bid,Ask,Price,PriceChange,PriceChangeRatio,Volume,TotalVolume,BestBidSize,BestAskSize" advise="1">
        <values cols="10">
          <value t="str">
            <val>今皓</val>
          </value>
          <value>
            <val>13.5</val>
          </value>
          <value>
            <val>13.55</val>
          </value>
          <value>
            <val>13.5</val>
          </value>
          <value>
            <val>0.25</val>
          </value>
          <value>
            <val>1.89</val>
          </value>
          <value>
            <val>50</val>
          </value>
          <value>
            <val>1532</val>
          </value>
          <value>
            <val>8</val>
          </value>
          <value>
            <val>21</val>
          </value>
        </values>
      </ddeItem>
      <ddeItem name="3011.TW-PreClose,InOutRatio,AvgPrice,Capital,Profit,MarketValue" advise="1">
        <values cols="6">
          <value>
            <val>13.25</val>
          </value>
          <value>
            <val>51.82</val>
          </value>
          <value>
            <val>13.49</val>
          </value>
          <value>
            <val>12.96</val>
          </value>
          <value>
            <val>-1.05</val>
          </value>
          <value>
            <val>15.8</val>
          </value>
        </values>
      </ddeItem>
      <ddeItem name="3013.TW-Name,Bid,Ask,Price,PriceChange,PriceChangeRatio,Volume,TotalVolume,BestBidSize,BestAskSize" advise="1">
        <values cols="10">
          <value t="str">
            <val>晟銘電</val>
          </value>
          <value>
            <val>111.5</val>
          </value>
          <value>
            <val>112</val>
          </value>
          <value>
            <val>112</val>
          </value>
          <value>
            <val>1</val>
          </value>
          <value>
            <val>0.9</val>
          </value>
          <value>
            <val>211</val>
          </value>
          <value>
            <val>4715</val>
          </value>
          <value>
            <val>73</val>
          </value>
          <value>
            <val>69</val>
          </value>
        </values>
      </ddeItem>
      <ddeItem name="3013.TW-PreClose,InOutRatio,AvgPrice,Capital,Profit,MarketValue" advise="1">
        <values cols="6">
          <value>
            <val>111</val>
          </value>
          <value>
            <val>49.09</val>
          </value>
          <value>
            <val>111.74</val>
          </value>
          <value>
            <val>20.51</val>
          </value>
          <value>
            <val>1.59</val>
          </value>
          <value>
            <val>229.8</val>
          </value>
        </values>
      </ddeItem>
      <ddeItem name="3024.TW-Name,Bid,Ask,Price,PriceChange,PriceChangeRatio,Volume,TotalVolume,BestBidSize,BestAskSize" advise="1">
        <values cols="10">
          <value t="str">
            <val>憶聲</val>
          </value>
          <value>
            <val>12</val>
          </value>
          <value t="str">
            <val>--</val>
          </value>
          <value>
            <val>12</val>
          </value>
          <value>
            <val>1.05</val>
          </value>
          <value>
            <val>9.59</val>
          </value>
          <value>
            <val>3</val>
          </value>
          <value>
            <val>6540</val>
          </value>
          <value>
            <val>1469</val>
          </value>
          <value>
            <val>0</val>
          </value>
        </values>
      </ddeItem>
      <ddeItem name="3024.TW-PreClose,InOutRatio,AvgPrice,Capital,Profit,MarketValue" advise="1">
        <values cols="6">
          <value>
            <val>10.95</val>
          </value>
          <value>
            <val>81.400000000000006</val>
          </value>
          <value>
            <val>11.91</val>
          </value>
          <value>
            <val>27.72</val>
          </value>
          <value>
            <val>-0.05</val>
          </value>
          <value>
            <val>33.299999999999997</val>
          </value>
        </values>
      </ddeItem>
      <ddeItem name="3030.TW-Name,Bid,Ask,Price,PriceChange,PriceChangeRatio,Volume,TotalVolume,BestBidSize,BestAskSize" advise="1">
        <values cols="10">
          <value t="str">
            <val>德律</val>
          </value>
          <value>
            <val>342</val>
          </value>
          <value>
            <val>342.5</val>
          </value>
          <value>
            <val>342</val>
          </value>
          <value>
            <val>3.5</val>
          </value>
          <value>
            <val>1.03</val>
          </value>
          <value>
            <val>400</val>
          </value>
          <value>
            <val>11102</val>
          </value>
          <value>
            <val>23</val>
          </value>
          <value>
            <val>3</val>
          </value>
        </values>
      </ddeItem>
      <ddeItem name="3030.TW-PreClose,InOutRatio,AvgPrice,Capital,Profit,MarketValue" advise="1">
        <values cols="6">
          <value>
            <val>338.5</val>
          </value>
          <value>
            <val>47.28</val>
          </value>
          <value>
            <val>345.27</val>
          </value>
          <value>
            <val>23.62</val>
          </value>
          <value>
            <val>2.9</val>
          </value>
          <value>
            <val>807.9</val>
          </value>
        </values>
      </ddeItem>
      <ddeItem name="3042.TW-Name,Bid,Ask,Price,PriceChange,PriceChangeRatio,Volume,TotalVolume,BestBidSize,BestAskSize" advise="1">
        <values cols="10">
          <value t="str">
            <val>晶技</val>
          </value>
          <value>
            <val>166.5</val>
          </value>
          <value t="str">
            <val>--</val>
          </value>
          <value>
            <val>166.5</val>
          </value>
          <value>
            <val>15</val>
          </value>
          <value>
            <val>9.9</val>
          </value>
          <value>
            <val>54</val>
          </value>
          <value>
            <val>7295</val>
          </value>
          <value>
            <val>353</val>
          </value>
          <value>
            <val>0</val>
          </value>
        </values>
      </ddeItem>
      <ddeItem name="3042.TW-PreClose,InOutRatio,AvgPrice,Capital,Profit,MarketValue" advise="1">
        <values cols="6">
          <value>
            <val>151.5</val>
          </value>
          <value>
            <val>66.84</val>
          </value>
          <value>
            <val>165.93</val>
          </value>
          <value>
            <val>34.299999999999997</val>
          </value>
          <value>
            <val>1.32</val>
          </value>
          <value>
            <val>529.5</val>
          </value>
        </values>
      </ddeItem>
      <ddeItem name="3054.TW-Name,Bid,Ask,Price,PriceChange,PriceChangeRatio,Volume,TotalVolume,BestBidSize,BestAskSize" advise="1">
        <values cols="10">
          <value t="str">
            <val>立萬利</val>
          </value>
          <value>
            <val>73.7</val>
          </value>
          <value>
            <val>73.8</val>
          </value>
          <value>
            <val>73.8</val>
          </value>
          <value>
            <val>-1.9</val>
          </value>
          <value>
            <val>-2.5099999999999998</val>
          </value>
          <value>
            <val>29</val>
          </value>
          <value>
            <val>794</val>
          </value>
          <value>
            <val>4</val>
          </value>
          <value>
            <val>2</val>
          </value>
        </values>
      </ddeItem>
      <ddeItem name="3054.TW-PreClose,InOutRatio,AvgPrice,Capital,Profit,MarketValue" advise="1">
        <values cols="6">
          <value>
            <val>75.7</val>
          </value>
          <value>
            <val>37.729999999999997</val>
          </value>
          <value>
            <val>75.5</val>
          </value>
          <value>
            <val>8.07</val>
          </value>
          <value>
            <val>1.3</val>
          </value>
          <value>
            <val>59.5</val>
          </value>
        </values>
      </ddeItem>
      <ddeItem name="3055.TW-Name,Bid,Ask,Price,PriceChange,PriceChangeRatio,Volume,TotalVolume,BestBidSize,BestAskSize" advise="1">
        <values cols="10">
          <value t="str">
            <val>蔚華科</val>
          </value>
          <value>
            <val>75</val>
          </value>
          <value t="str">
            <val>--</val>
          </value>
          <value>
            <val>75</val>
          </value>
          <value>
            <val>6.8</val>
          </value>
          <value>
            <val>9.9700000000000006</val>
          </value>
          <value>
            <val>6</val>
          </value>
          <value>
            <val>883</val>
          </value>
          <value>
            <val>483</val>
          </value>
          <value>
            <val>0</val>
          </value>
        </values>
      </ddeItem>
      <ddeItem name="3055.TW-PreClose,InOutRatio,AvgPrice,Capital,Profit,MarketValue" advise="1">
        <values cols="6">
          <value>
            <val>68.2</val>
          </value>
          <value>
            <val>97.75</val>
          </value>
          <value>
            <val>74.42</val>
          </value>
          <value>
            <val>11.5</val>
          </value>
          <value>
            <val>-0.95</val>
          </value>
          <value>
            <val>74</val>
          </value>
        </values>
      </ddeItem>
      <ddeItem name="3081.TW-Name,Bid,Ask,Price,PriceChange,PriceChangeRatio,Volume,TotalVolume,BestBidSize,BestAskSize" advise="1">
        <values cols="10">
          <value t="str">
            <val>聯亞</val>
          </value>
          <value>
            <val>2860</val>
          </value>
          <value t="str">
            <val>--</val>
          </value>
          <value>
            <val>2860</val>
          </value>
          <value>
            <val>260</val>
          </value>
          <value>
            <val>10</val>
          </value>
          <value>
            <val>7</val>
          </value>
          <value>
            <val>1745</val>
          </value>
          <value>
            <val>392</val>
          </value>
          <value>
            <val>0</val>
          </value>
        </values>
      </ddeItem>
      <ddeItem name="3081.TW-PreClose,InOutRatio,AvgPrice,Capital,Profit,MarketValue" advise="1">
        <values cols="6">
          <value>
            <val>2600</val>
          </value>
          <value>
            <val>65.349999999999994</val>
          </value>
          <value>
            <val>2808.7</val>
          </value>
          <value>
            <val>9.25</val>
          </value>
          <value>
            <val>2.0699999999999998</val>
          </value>
          <value>
            <val>2646</val>
          </value>
        </values>
      </ddeItem>
      <ddeItem name="3092.TW-Name,Bid,Ask,Price,PriceChange,PriceChangeRatio,Volume,TotalVolume,BestBidSize,BestAskSize" advise="1">
        <values cols="10">
          <value t="str">
            <val>鴻碩</val>
          </value>
          <value>
            <val>34.6</val>
          </value>
          <value>
            <val>34.65</val>
          </value>
          <value>
            <val>34.6</val>
          </value>
          <value>
            <val>-0.7</val>
          </value>
          <value>
            <val>-1.98</val>
          </value>
          <value>
            <val>83</val>
          </value>
          <value>
            <val>2538</val>
          </value>
          <value>
            <val>1</val>
          </value>
          <value>
            <val>7</val>
          </value>
        </values>
      </ddeItem>
      <ddeItem name="3092.TW-PreClose,InOutRatio,AvgPrice,Capital,Profit,MarketValue" advise="1">
        <values cols="6">
          <value>
            <val>35.299999999999997</val>
          </value>
          <value>
            <val>36.46</val>
          </value>
          <value>
            <val>35.14</val>
          </value>
          <value>
            <val>10.66</val>
          </value>
          <value>
            <val>-0.83</val>
          </value>
          <value>
            <val>36.9</val>
          </value>
        </values>
      </ddeItem>
      <ddeItem name="3105.TW-Name,Bid,Ask,Price,PriceChange,PriceChangeRatio,Volume,TotalVolume,BestBidSize,BestAskSize" advise="1">
        <values cols="10">
          <value t="str">
            <val>穩懋</val>
          </value>
          <value>
            <val>592</val>
          </value>
          <value t="str">
            <val>--</val>
          </value>
          <value>
            <val>592</val>
          </value>
          <value>
            <val>53</val>
          </value>
          <value>
            <val>9.83</val>
          </value>
          <value>
            <val>105</val>
          </value>
          <value>
            <val>41984</val>
          </value>
          <value>
            <val>9197</val>
          </value>
          <value>
            <val>0</val>
          </value>
        </values>
      </ddeItem>
      <ddeItem name="3105.TW-PreClose,InOutRatio,AvgPrice,Capital,Profit,MarketValue" advise="1">
        <values cols="6">
          <value>
            <val>539</val>
          </value>
          <value>
            <val>51.89</val>
          </value>
          <value>
            <val>574.24</val>
          </value>
          <value>
            <val>42.39</val>
          </value>
          <value>
            <val>2.4300000000000002</val>
          </value>
          <value>
            <val>2509.6999999999998</val>
          </value>
        </values>
      </ddeItem>
      <ddeItem name="3138.TW-Name,Bid,Ask,Price,PriceChange,PriceChangeRatio,Volume,TotalVolume,BestBidSize,BestAskSize" advise="1">
        <values cols="10">
          <value t="str">
            <val>耀登</val>
          </value>
          <value>
            <val>180</val>
          </value>
          <value>
            <val>180.5</val>
          </value>
          <value>
            <val>180</val>
          </value>
          <value>
            <val>-4</val>
          </value>
          <value>
            <val>-2.17</val>
          </value>
          <value>
            <val>108</val>
          </value>
          <value>
            <val>2347</val>
          </value>
          <value>
            <val>42</val>
          </value>
          <value>
            <val>22</val>
          </value>
        </values>
      </ddeItem>
      <ddeItem name="3138.TW-PreClose,InOutRatio,AvgPrice,Capital,Profit,MarketValue" advise="1">
        <values cols="6">
          <value>
            <val>184</val>
          </value>
          <value>
            <val>30.38</val>
          </value>
          <value>
            <val>182.16</val>
          </value>
          <value>
            <val>5.62</val>
          </value>
          <value>
            <val>1.1299999999999999</val>
          </value>
          <value>
            <val>90.6</val>
          </value>
        </values>
      </ddeItem>
      <ddeItem name="3163.TW-Name,Bid,Ask,Price,PriceChange,PriceChangeRatio,Volume,TotalVolume,BestBidSize,BestAskSize" advise="1">
        <values cols="10">
          <value t="str">
            <val>波若威</val>
          </value>
          <value>
            <val>1285</val>
          </value>
          <value>
            <val>1295</val>
          </value>
          <value>
            <val>1295</val>
          </value>
          <value>
            <val>70</val>
          </value>
          <value>
            <val>5.71</val>
          </value>
          <value>
            <val>66</val>
          </value>
          <value>
            <val>758</val>
          </value>
          <value>
            <val>2</val>
          </value>
          <value>
            <val>8</val>
          </value>
        </values>
      </ddeItem>
      <ddeItem name="3163.TW-PreClose,InOutRatio,AvgPrice,Capital,Profit,MarketValue" advise="1">
        <values cols="6">
          <value>
            <val>1225</val>
          </value>
          <value>
            <val>68.69</val>
          </value>
          <value>
            <val>1286.83</val>
          </value>
          <value>
            <val>8.0500000000000007</val>
          </value>
          <value>
            <val>2.91</val>
          </value>
          <value>
            <val>1043</val>
          </value>
        </values>
      </ddeItem>
      <ddeItem name="3230.TW-Name,Bid,Ask,Price,PriceChange,PriceChangeRatio,Volume,TotalVolume,BestBidSize,BestAskSize" advise="1">
        <values cols="10">
          <value t="str">
            <val>錦明</val>
          </value>
          <value>
            <val>42.75</val>
          </value>
          <value>
            <val>42.8</val>
          </value>
          <value>
            <val>42.8</val>
          </value>
          <value>
            <val>-0.55000000000000004</val>
          </value>
          <value>
            <val>-1.27</val>
          </value>
          <value>
            <val>115</val>
          </value>
          <value>
            <val>3324</val>
          </value>
          <value>
            <val>8</val>
          </value>
          <value>
            <val>1</val>
          </value>
        </values>
      </ddeItem>
      <ddeItem name="3230.TW-PreClose,InOutRatio,AvgPrice,Capital,Profit,MarketValue" advise="1">
        <values cols="6">
          <value>
            <val>43.35</val>
          </value>
          <value>
            <val>31.5</val>
          </value>
          <value>
            <val>44.32</val>
          </value>
          <value>
            <val>8.6</val>
          </value>
          <value>
            <val>-0.44</val>
          </value>
          <value>
            <val>36.799999999999997</val>
          </value>
        </values>
      </ddeItem>
      <ddeItem name="3293.TW-Name,Bid,Ask,Price,PriceChange,PriceChangeRatio,Volume,TotalVolume,BestBidSize,BestAskSize" advise="1">
        <values cols="10">
          <value t="str">
            <val>鈊象</val>
          </value>
          <value>
            <val>784</val>
          </value>
          <value>
            <val>785</val>
          </value>
          <value>
            <val>785</val>
          </value>
          <value>
            <val>10</val>
          </value>
          <value>
            <val>1.29</val>
          </value>
          <value>
            <val>180</val>
          </value>
          <value>
            <val>1662</val>
          </value>
          <value>
            <val>10</val>
          </value>
          <value>
            <val>69</val>
          </value>
        </values>
      </ddeItem>
      <ddeItem name="3293.TW-PreClose,InOutRatio,AvgPrice,Capital,Profit,MarketValue" advise="1">
        <values cols="6">
          <value>
            <val>775</val>
          </value>
          <value>
            <val>59.4</val>
          </value>
          <value>
            <val>781.35</val>
          </value>
          <value>
            <val>28.18</val>
          </value>
          <value>
            <val>10.61</val>
          </value>
          <value>
            <val>2212.1</val>
          </value>
        </values>
      </ddeItem>
      <ddeItem name="3317.TW-Name,Bid,Ask,Price,PriceChange,PriceChangeRatio,Volume,TotalVolume,BestBidSize,BestAskSize" advise="1">
        <values cols="10">
          <value t="str">
            <val>尼克森</val>
          </value>
          <value>
            <val>54.1</val>
          </value>
          <value>
            <val>54.2</val>
          </value>
          <value>
            <val>54.1</val>
          </value>
          <value>
            <val>-0.5</val>
          </value>
          <value>
            <val>-0.92</val>
          </value>
          <value>
            <val>297</val>
          </value>
          <value>
            <val>5433</val>
          </value>
          <value>
            <val>24</val>
          </value>
          <value>
            <val>24</val>
          </value>
        </values>
      </ddeItem>
      <ddeItem name="3317.TW-PreClose,InOutRatio,AvgPrice,Capital,Profit,MarketValue" advise="1">
        <values cols="6">
          <value>
            <val>54.6</val>
          </value>
          <value>
            <val>36.659999999999997</val>
          </value>
          <value>
            <val>55.31</val>
          </value>
          <value>
            <val>9</val>
          </value>
          <value>
            <val>-0.17</val>
          </value>
          <value>
            <val>48.7</val>
          </value>
        </values>
      </ddeItem>
      <ddeItem name="3339.TW-Name,Bid,Ask,Price,PriceChange,PriceChangeRatio,Volume,TotalVolume,BestBidSize,BestAskSize" advise="1">
        <values cols="10">
          <value t="str">
            <val>泰谷</val>
          </value>
          <value>
            <val>66.3</val>
          </value>
          <value>
            <val>66.400000000000006</val>
          </value>
          <value>
            <val>66.3</val>
          </value>
          <value>
            <val>-3</val>
          </value>
          <value>
            <val>-4.33</val>
          </value>
          <value>
            <val>168</val>
          </value>
          <value>
            <val>4188</val>
          </value>
          <value>
            <val>7</val>
          </value>
          <value>
            <val>1</val>
          </value>
        </values>
      </ddeItem>
      <ddeItem name="3339.TW-PreClose,InOutRatio,AvgPrice,Capital,Profit,MarketValue" advise="1">
        <values cols="6">
          <value>
            <val>69.3</val>
          </value>
          <value>
            <val>38.770000000000003</val>
          </value>
          <value>
            <val>66.34</val>
          </value>
          <value>
            <val>6.66</val>
          </value>
          <value>
            <val>-0.43</val>
          </value>
          <value>
            <val>44.1</val>
          </value>
        </values>
      </ddeItem>
      <ddeItem name="3357.TW-Name,Bid,Ask,Price,PriceChange,PriceChangeRatio,Volume,TotalVolume,BestBidSize,BestAskSize" advise="1">
        <values cols="10">
          <value t="str">
            <val>臺慶科</val>
          </value>
          <value>
            <val>182.5</val>
          </value>
          <value>
            <val>183</val>
          </value>
          <value>
            <val>182.5</val>
          </value>
          <value>
            <val>1.5</val>
          </value>
          <value>
            <val>0.83</val>
          </value>
          <value>
            <val>112</val>
          </value>
          <value>
            <val>3839</val>
          </value>
          <value>
            <val>9</val>
          </value>
          <value>
            <val>38</val>
          </value>
        </values>
      </ddeItem>
      <ddeItem name="3357.TW-PreClose,InOutRatio,AvgPrice,Capital,Profit,MarketValue" advise="1">
        <values cols="6">
          <value>
            <val>181</val>
          </value>
          <value>
            <val>47.55</val>
          </value>
          <value>
            <val>183.21</val>
          </value>
          <value>
            <val>11.49</val>
          </value>
          <value>
            <val>2.48</val>
          </value>
          <value>
            <val>207.7</val>
          </value>
        </values>
      </ddeItem>
      <ddeItem name="3363.TW-Name,Bid,Ask,Price,PriceChange,PriceChangeRatio,Volume,TotalVolume,BestBidSize,BestAskSize" advise="1">
        <values cols="10">
          <value t="str">
            <val>上詮</val>
          </value>
          <value>
            <val>988</val>
          </value>
          <value t="str">
            <val>--</val>
          </value>
          <value>
            <val>988</val>
          </value>
          <value>
            <val>89</val>
          </value>
          <value>
            <val>9.9</val>
          </value>
          <value>
            <val>27</val>
          </value>
          <value>
            <val>6603</val>
          </value>
          <value>
            <val>81</val>
          </value>
          <value>
            <val>0</val>
          </value>
        </values>
      </ddeItem>
      <ddeItem name="3363.TW-PreClose,InOutRatio,AvgPrice,Capital,Profit,MarketValue" advise="1">
        <values cols="6">
          <value>
            <val>899</val>
          </value>
          <value>
            <val>65.45</val>
          </value>
          <value>
            <val>951.95</val>
          </value>
          <value>
            <val>11.36</val>
          </value>
          <value>
            <val>-0.22</val>
          </value>
          <value>
            <val>1122.8</val>
          </value>
        </values>
      </ddeItem>
      <ddeItem name="3388.TW-Name,Bid,Ask,Price,PriceChange,PriceChangeRatio,Volume,TotalVolume,BestBidSize,BestAskSize" advise="1">
        <values cols="10">
          <value t="str">
            <val>崇越電</val>
          </value>
          <value>
            <val>109</val>
          </value>
          <value t="str">
            <val>--</val>
          </value>
          <value>
            <val>109</val>
          </value>
          <value>
            <val>9.6999999999999993</val>
          </value>
          <value>
            <val>9.77</val>
          </value>
          <value>
            <val>34</val>
          </value>
          <value>
            <val>5309</val>
          </value>
          <value>
            <val>3392</val>
          </value>
          <value>
            <val>0</val>
          </value>
        </values>
      </ddeItem>
      <ddeItem name="3388.TW-PreClose,InOutRatio,AvgPrice,Capital,Profit,MarketValue" advise="1">
        <values cols="6">
          <value>
            <val>99.3</val>
          </value>
          <value>
            <val>57.85</val>
          </value>
          <value>
            <val>106.22</val>
          </value>
          <value>
            <val>7.41</val>
          </value>
          <value>
            <val>1.0900000000000001</val>
          </value>
          <value>
            <val>80.7</val>
          </value>
        </values>
      </ddeItem>
      <ddeItem name="3402.TW-Name,Bid,Ask,Price,PriceChange,PriceChangeRatio,Volume,TotalVolume,BestBidSize,BestAskSize" advise="1">
        <values cols="10">
          <value t="str">
            <val>漢科</val>
          </value>
          <value>
            <val>134</val>
          </value>
          <value>
            <val>134.5</val>
          </value>
          <value>
            <val>134</val>
          </value>
          <value>
            <val>2</val>
          </value>
          <value>
            <val>1.52</val>
          </value>
          <value>
            <val>44</val>
          </value>
          <value>
            <val>1910</val>
          </value>
          <value>
            <val>14</val>
          </value>
          <value>
            <val>51</val>
          </value>
        </values>
      </ddeItem>
      <ddeItem name="3402.TW-PreClose,InOutRatio,AvgPrice,Capital,Profit,MarketValue" advise="1">
        <values cols="6">
          <value>
            <val>132</val>
          </value>
          <value>
            <val>48.61</val>
          </value>
          <value>
            <val>135.19999999999999</val>
          </value>
          <value>
            <val>7.3</val>
          </value>
          <value>
            <val>1.51</val>
          </value>
          <value>
            <val>97.9</val>
          </value>
        </values>
      </ddeItem>
      <ddeItem name="3430.TW-Name,Bid,Ask,Price,PriceChange,PriceChangeRatio,Volume,TotalVolume,BestBidSize,BestAskSize" advise="1">
        <values cols="10">
          <value t="str">
            <val>奇鈦科</val>
          </value>
          <value>
            <val>94.1</val>
          </value>
          <value t="str">
            <val>--</val>
          </value>
          <value>
            <val>94.1</val>
          </value>
          <value>
            <val>8.5</val>
          </value>
          <value>
            <val>9.93</val>
          </value>
          <value>
            <val>7</val>
          </value>
          <value>
            <val>1375</val>
          </value>
          <value>
            <val>371</val>
          </value>
          <value>
            <val>0</val>
          </value>
        </values>
      </ddeItem>
      <ddeItem name="3430.TW-PreClose,InOutRatio,AvgPrice,Capital,Profit,MarketValue" advise="1">
        <values cols="6">
          <value>
            <val>85.6</val>
          </value>
          <value>
            <val>100</val>
          </value>
          <value>
            <val>94.1</val>
          </value>
          <value>
            <val>3.37</val>
          </value>
          <value>
            <val>1.01</val>
          </value>
          <value>
            <val>31.7</val>
          </value>
        </values>
      </ddeItem>
      <ddeItem name="3437.TW-Name,Bid,Ask,Price,PriceChange,PriceChangeRatio,Volume,TotalVolume,BestBidSize,BestAskSize" advise="1">
        <values cols="10">
          <value t="str">
            <val>榮創</val>
          </value>
          <value>
            <val>29.9</val>
          </value>
          <value t="str">
            <val>--</val>
          </value>
          <value>
            <val>29.9</val>
          </value>
          <value>
            <val>2.7</val>
          </value>
          <value>
            <val>9.93</val>
          </value>
          <value>
            <val>6</val>
          </value>
          <value>
            <val>8580</val>
          </value>
          <value>
            <val>4066</val>
          </value>
          <value>
            <val>0</val>
          </value>
        </values>
      </ddeItem>
      <ddeItem name="3437.TW-PreClose,InOutRatio,AvgPrice,Capital,Profit,MarketValue" advise="1">
        <values cols="6">
          <value>
            <val>27.2</val>
          </value>
          <value>
            <val>88.8</val>
          </value>
          <value>
            <val>29.87</val>
          </value>
          <value>
            <val>14.45</val>
          </value>
          <value>
            <val>-0.62</val>
          </value>
          <value>
            <val>43.2</val>
          </value>
        </values>
      </ddeItem>
      <ddeItem name="3450.TW-Name,Bid,Ask,Price,PriceChange,PriceChangeRatio,Volume,TotalVolume,BestBidSize,BestAskSize" advise="1">
        <values cols="10">
          <value t="str">
            <val>聯鈞</val>
          </value>
          <value>
            <val>383</val>
          </value>
          <value>
            <val>383.5</val>
          </value>
          <value>
            <val>383</val>
          </value>
          <value>
            <val>17</val>
          </value>
          <value>
            <val>4.6399999999999997</val>
          </value>
          <value>
            <val>1054</val>
          </value>
          <value>
            <val>38212</val>
          </value>
          <value>
            <val>53</val>
          </value>
          <value>
            <val>29</val>
          </value>
        </values>
      </ddeItem>
      <ddeItem name="3450.TW-PreClose,InOutRatio,AvgPrice,Capital,Profit,MarketValue" advise="1">
        <values cols="6">
          <value>
            <val>366</val>
          </value>
          <value>
            <val>47.78</val>
          </value>
          <value>
            <val>380.44</val>
          </value>
          <value>
            <val>14.57</val>
          </value>
          <value>
            <val>1.53</val>
          </value>
          <value>
            <val>558</val>
          </value>
        </values>
      </ddeItem>
      <ddeItem name="3455.TW-Name,Bid,Ask,Price,PriceChange,PriceChangeRatio,Volume,TotalVolume,BestBidSize,BestAskSize" advise="1">
        <values cols="10">
          <value t="str">
            <val>由田</val>
          </value>
          <value>
            <val>211.5</val>
          </value>
          <value t="str">
            <val>--</val>
          </value>
          <value>
            <val>211.5</val>
          </value>
          <value>
            <val>19</val>
          </value>
          <value>
            <val>9.8699999999999992</val>
          </value>
          <value>
            <val>33</val>
          </value>
          <value>
            <val>2083</val>
          </value>
          <value>
            <val>1322</val>
          </value>
          <value>
            <val>0</val>
          </value>
        </values>
      </ddeItem>
      <ddeItem name="3455.TW-PreClose,InOutRatio,AvgPrice,Capital,Profit,MarketValue" advise="1">
        <values cols="6">
          <value>
            <val>192.5</val>
          </value>
          <value>
            <val>60.88</val>
          </value>
          <value>
            <val>206.11</val>
          </value>
          <value>
            <val>5.99</val>
          </value>
          <value>
            <val>1.31</val>
          </value>
          <value>
            <val>126.6</val>
          </value>
        </values>
      </ddeItem>
      <ddeItem name="3504.TW-Name,Bid,Ask,Price,PriceChange,PriceChangeRatio,Volume,TotalVolume,BestBidSize,BestAskSize" advise="1">
        <values cols="10">
          <value t="str">
            <val>揚明光</val>
          </value>
          <value>
            <val>71.5</val>
          </value>
          <value>
            <val>71.599999999999994</val>
          </value>
          <value>
            <val>71.599999999999994</val>
          </value>
          <value>
            <val>4.2</val>
          </value>
          <value>
            <val>6.23</val>
          </value>
          <value>
            <val>262</val>
          </value>
          <value>
            <val>6412</val>
          </value>
          <value>
            <val>8</val>
          </value>
          <value>
            <val>81</val>
          </value>
        </values>
      </ddeItem>
      <ddeItem name="3504.TW-PreClose,InOutRatio,AvgPrice,Capital,Profit,MarketValue" advise="1">
        <values cols="6">
          <value>
            <val>67.400000000000006</val>
          </value>
          <value>
            <val>54.84</val>
          </value>
          <value>
            <val>71.06</val>
          </value>
          <value>
            <val>11.41</val>
          </value>
          <value>
            <val>-7.0000000000000007E-2</val>
          </value>
          <value>
            <val>81.7</val>
          </value>
        </values>
      </ddeItem>
      <ddeItem name="3511.TW-Name,Bid,Ask,Price,PriceChange,PriceChangeRatio,Volume,TotalVolume,BestBidSize,BestAskSize" advise="1">
        <values cols="10">
          <value t="str">
            <val>矽瑪</val>
          </value>
          <value>
            <val>20.75</val>
          </value>
          <value>
            <val>20.8</val>
          </value>
          <value>
            <val>20.8</val>
          </value>
          <value>
            <val>-0.5</val>
          </value>
          <value>
            <val>-2.35</val>
          </value>
          <value>
            <val>43</val>
          </value>
          <value>
            <val>980</val>
          </value>
          <value>
            <val>9</val>
          </value>
          <value>
            <val>1</val>
          </value>
        </values>
      </ddeItem>
      <ddeItem name="3511.TW-PreClose,InOutRatio,AvgPrice,Capital,Profit,MarketValue" advise="1">
        <values cols="6">
          <value>
            <val>21.3</val>
          </value>
          <value>
            <val>41.8</val>
          </value>
          <value>
            <val>21.07</val>
          </value>
          <value>
            <val>8</val>
          </value>
          <value>
            <val>-0.18</val>
          </value>
          <value>
            <val>16.600000000000001</val>
          </value>
        </values>
      </ddeItem>
      <ddeItem name="3518.TW-Name,Bid,Ask,Price,PriceChange,PriceChangeRatio,Volume,TotalVolume,BestBidSize,BestAskSize" advise="1">
        <values cols="10">
          <value t="str">
            <val>柏騰</val>
          </value>
          <value>
            <val>29.75</val>
          </value>
          <value t="str">
            <val>--</val>
          </value>
          <value>
            <val>29.75</val>
          </value>
          <value>
            <val>2.7</val>
          </value>
          <value>
            <val>9.98</val>
          </value>
          <value>
            <val>5</val>
          </value>
          <value>
            <val>1527</val>
          </value>
          <value>
            <val>1157</val>
          </value>
          <value>
            <val>0</val>
          </value>
        </values>
      </ddeItem>
      <ddeItem name="3518.TW-PreClose,InOutRatio,AvgPrice,Capital,Profit,MarketValue" advise="1">
        <values cols="6">
          <value>
            <val>27.05</val>
          </value>
          <value>
            <val>91.99</val>
          </value>
          <value>
            <val>29.53</val>
          </value>
          <value>
            <val>10.36</val>
          </value>
          <value>
            <val>-0.63</val>
          </value>
          <value>
            <val>29.1</val>
          </value>
        </values>
      </ddeItem>
      <ddeItem name="3529.TW-Name,Bid,Ask,Price,PriceChange,PriceChangeRatio,Volume,TotalVolume,BestBidSize,BestAskSize" advise="1">
        <values cols="10">
          <value t="str">
            <val>力旺</val>
          </value>
          <value>
            <val>4380</val>
          </value>
          <value>
            <val>4390</val>
          </value>
          <value>
            <val>4385</val>
          </value>
          <value>
            <val>310</val>
          </value>
          <value>
            <val>7.61</val>
          </value>
          <value>
            <val>51</val>
          </value>
          <value>
            <val>1292</val>
          </value>
          <value>
            <val>1</val>
          </value>
          <value>
            <val>1</val>
          </value>
        </values>
      </ddeItem>
      <ddeItem name="3529.TW-PreClose,InOutRatio,AvgPrice,Capital,Profit,MarketValue" advise="1">
        <values cols="6">
          <value>
            <val>4075</val>
          </value>
          <value>
            <val>48.48</val>
          </value>
          <value>
            <val>4169.09</val>
          </value>
          <value>
            <val>7.47</val>
          </value>
          <value>
            <val>7.54</val>
          </value>
          <value>
            <val>3275</val>
          </value>
        </values>
      </ddeItem>
      <ddeItem name="3545.TW-Name,Bid,Ask,Price,PriceChange,PriceChangeRatio,Volume,TotalVolume,BestBidSize,BestAskSize" advise="1">
        <values cols="10">
          <value t="str">
            <val>敦泰</val>
          </value>
          <value>
            <val>50.2</val>
          </value>
          <value>
            <val>50.3</val>
          </value>
          <value>
            <val>50.2</val>
          </value>
          <value>
            <val>-1.7</val>
          </value>
          <value>
            <val>-3.28</val>
          </value>
          <value>
            <val>92</val>
          </value>
          <value>
            <val>1912</val>
          </value>
          <value>
            <val>3</val>
          </value>
          <value>
            <val>17</val>
          </value>
        </values>
      </ddeItem>
      <ddeItem name="3545.TW-PreClose,InOutRatio,AvgPrice,Capital,Profit,MarketValue" advise="1">
        <values cols="6">
          <value>
            <val>51.9</val>
          </value>
          <value>
            <val>31.2</val>
          </value>
          <value>
            <val>50.96</val>
          </value>
          <value>
            <val>22.12</val>
          </value>
          <value>
            <val>-6.19</val>
          </value>
          <value>
            <val>111.1</val>
          </value>
        </values>
      </ddeItem>
      <ddeItem name="3550.TW-Name,Bid,Ask,Price,PriceChange,PriceChangeRatio,Volume,TotalVolume,BestBidSize,BestAskSize" advise="1">
        <values cols="10">
          <value t="str">
            <val>聯穎</val>
          </value>
          <value>
            <val>21.2</val>
          </value>
          <value>
            <val>21.25</val>
          </value>
          <value>
            <val>21.25</val>
          </value>
          <value>
            <val>0.15</val>
          </value>
          <value>
            <val>0.71</val>
          </value>
          <value>
            <val>197</val>
          </value>
          <value>
            <val>4509</val>
          </value>
          <value>
            <val>1</val>
          </value>
          <value>
            <val>15</val>
          </value>
        </values>
      </ddeItem>
      <ddeItem name="3550.TW-PreClose,InOutRatio,AvgPrice,Capital,Profit,MarketValue" advise="1">
        <values cols="6">
          <value>
            <val>21.1</val>
          </value>
          <value>
            <val>39.700000000000003</val>
          </value>
          <value>
            <val>20.66</val>
          </value>
          <value>
            <val>10.76</val>
          </value>
          <value>
            <val>-0.49</val>
          </value>
          <value>
            <val>22.9</val>
          </value>
        </values>
      </ddeItem>
      <ddeItem name="3555.TW-Name,Bid,Ask,Price,PriceChange,PriceChangeRatio,Volume,TotalVolume,BestBidSize,BestAskSize" advise="1">
        <values cols="10">
          <value t="str">
            <val>博士旺</val>
          </value>
          <value>
            <val>260.5</val>
          </value>
          <value>
            <val>261.5</val>
          </value>
          <value>
            <val>260.5</val>
          </value>
          <value>
            <val>0.5</val>
          </value>
          <value>
            <val>0.19</val>
          </value>
          <value>
            <val>70</val>
          </value>
          <value>
            <val>1373</val>
          </value>
          <value>
            <val>6</val>
          </value>
          <value>
            <val>2</val>
          </value>
        </values>
      </ddeItem>
      <ddeItem name="3555.TW-PreClose,InOutRatio,AvgPrice,Capital,Profit,MarketValue" advise="1">
        <values cols="6">
          <value>
            <val>260</val>
          </value>
          <value>
            <val>33.840000000000003</val>
          </value>
          <value>
            <val>268.73</val>
          </value>
          <value>
            <val>4</val>
          </value>
          <value>
            <val>1.83</val>
          </value>
          <value>
            <val>104.2</val>
          </value>
        </values>
      </ddeItem>
      <ddeItem name="3583.TW-Name,Bid,Ask,Price,PriceChange,PriceChangeRatio,Volume,TotalVolume,BestBidSize,BestAskSize" advise="1">
        <values cols="10">
          <value t="str">
            <val>辛耘</val>
          </value>
          <value>
            <val>805</val>
          </value>
          <value>
            <val>808</val>
          </value>
          <value>
            <val>808</val>
          </value>
          <value>
            <val>48</val>
          </value>
          <value>
            <val>6.32</val>
          </value>
          <value>
            <val>91</val>
          </value>
          <value>
            <val>1513</val>
          </value>
          <value>
            <val>3</val>
          </value>
          <value>
            <val>1</val>
          </value>
        </values>
      </ddeItem>
      <ddeItem name="3583.TW-PreClose,InOutRatio,AvgPrice,Capital,Profit,MarketValue" advise="1">
        <values cols="6">
          <value>
            <val>760</val>
          </value>
          <value>
            <val>40.549999999999997</val>
          </value>
          <value>
            <val>811.69</val>
          </value>
          <value>
            <val>8.0299999999999994</val>
          </value>
          <value>
            <val>4.0999999999999996</val>
          </value>
          <value>
            <val>649.1</val>
          </value>
        </values>
      </ddeItem>
      <ddeItem name="3587.TW-Name,Bid,Ask,Price,PriceChange,PriceChangeRatio,Volume,TotalVolume,BestBidSize,BestAskSize" advise="1">
        <values cols="10">
          <value t="str">
            <val>閎康</val>
          </value>
          <value>
            <val>369</val>
          </value>
          <value>
            <val>369.5</val>
          </value>
          <value>
            <val>369</val>
          </value>
          <value>
            <val>2</val>
          </value>
          <value>
            <val>0.54</val>
          </value>
          <value>
            <val>318</val>
          </value>
          <value>
            <val>8714</val>
          </value>
          <value>
            <val>16</val>
          </value>
          <value>
            <val>10</val>
          </value>
        </values>
      </ddeItem>
      <ddeItem name="3587.TW-PreClose,InOutRatio,AvgPrice,Capital,Profit,MarketValue" advise="1">
        <values cols="6">
          <value>
            <val>367</val>
          </value>
          <value>
            <val>49.81</val>
          </value>
          <value>
            <val>366.36</val>
          </value>
          <value>
            <val>6.94</val>
          </value>
          <value>
            <val>1.84</val>
          </value>
          <value>
            <val>254.3</val>
          </value>
        </values>
      </ddeItem>
      <ddeItem name="3591.TW-Name,Bid,Ask,Price,PriceChange,PriceChangeRatio,Volume,TotalVolume,BestBidSize,BestAskSize" advise="1">
        <values cols="10">
          <value t="str">
            <val>艾笛森</val>
          </value>
          <value>
            <val>27.2</val>
          </value>
          <value t="str">
            <val>--</val>
          </value>
          <value>
            <val>27.2</val>
          </value>
          <value>
            <val>2.4500000000000002</val>
          </value>
          <value>
            <val>9.9</val>
          </value>
          <value>
            <val>2</val>
          </value>
          <value>
            <val>4132</val>
          </value>
          <value>
            <val>3349</val>
          </value>
          <value>
            <val>0</val>
          </value>
        </values>
      </ddeItem>
      <ddeItem name="3591.TW-PreClose,InOutRatio,AvgPrice,Capital,Profit,MarketValue" advise="1">
        <values cols="6">
          <value>
            <val>24.75</val>
          </value>
          <value>
            <val>84.9</val>
          </value>
          <value>
            <val>26.96</val>
          </value>
          <value>
            <val>14.54</val>
          </value>
          <value>
            <val>-0.13</val>
          </value>
          <value>
            <val>39.5</val>
          </value>
        </values>
      </ddeItem>
      <ddeItem name="3594.TW-Name,Bid,Ask,Price,PriceChange,PriceChangeRatio,Volume,TotalVolume,BestBidSize,BestAskSize" advise="1">
        <values cols="10">
          <value t="str">
            <val>磐儀</val>
          </value>
          <value>
            <val>51.7</val>
          </value>
          <value t="str">
            <val>--</val>
          </value>
          <value>
            <val>51.7</val>
          </value>
          <value>
            <val>4.7</val>
          </value>
          <value>
            <val>10</val>
          </value>
          <value>
            <val>1</val>
          </value>
          <value>
            <val>1112</val>
          </value>
          <value>
            <val>742</val>
          </value>
          <value>
            <val>0</val>
          </value>
        </values>
      </ddeItem>
      <ddeItem name="3594.TW-PreClose,InOutRatio,AvgPrice,Capital,Profit,MarketValue" advise="1">
        <values cols="6">
          <value>
            <val>47</val>
          </value>
          <value>
            <val>99.22</val>
          </value>
          <value>
            <val>51.54</val>
          </value>
          <value>
            <val>9.59</val>
          </value>
          <value>
            <val>0.54</val>
          </value>
          <value>
            <val>49.6</val>
          </value>
        </values>
      </ddeItem>
      <ddeItem name="3607.TW-Name,Bid,Ask,Price,PriceChange,PriceChangeRatio,Volume,TotalVolume,BestBidSize,BestAskSize" advise="1">
        <values cols="10">
          <value t="str">
            <val>谷崧</val>
          </value>
          <value>
            <val>15.1</val>
          </value>
          <value>
            <val>15.25</val>
          </value>
          <value>
            <val>15.1</val>
          </value>
          <value>
            <val>-0.4</val>
          </value>
          <value>
            <val>-2.58</val>
          </value>
          <value>
            <val>10</val>
          </value>
          <value>
            <val>804</val>
          </value>
          <value>
            <val>10</val>
          </value>
          <value>
            <val>2</val>
          </value>
        </values>
      </ddeItem>
      <ddeItem name="3607.TW-PreClose,InOutRatio,AvgPrice,Capital,Profit,MarketValue" advise="1">
        <values cols="6">
          <value>
            <val>15.5</val>
          </value>
          <value>
            <val>37.53</val>
          </value>
          <value>
            <val>15.34</val>
          </value>
          <value>
            <val>12.17</val>
          </value>
          <value>
            <val>-0.03</val>
          </value>
          <value>
            <val>18.399999999999999</val>
          </value>
        </values>
      </ddeItem>
      <ddeItem name="3615.TW-Name,Bid,Ask,Price,PriceChange,PriceChangeRatio,Volume,TotalVolume,BestBidSize,BestAskSize" advise="1">
        <values cols="10">
          <value t="str">
            <val>安可</val>
          </value>
          <value>
            <val>36.049999999999997</val>
          </value>
          <value>
            <val>36.1</val>
          </value>
          <value>
            <val>36.1</val>
          </value>
          <value>
            <val>1.2</val>
          </value>
          <value>
            <val>3.44</val>
          </value>
          <value>
            <val>281</val>
          </value>
          <value>
            <val>7686</val>
          </value>
          <value>
            <val>15</val>
          </value>
          <value>
            <val>1</val>
          </value>
        </values>
      </ddeItem>
      <ddeItem name="3615.TW-PreClose,InOutRatio,AvgPrice,Capital,Profit,MarketValue" advise="1">
        <values cols="6">
          <value>
            <val>34.9</val>
          </value>
          <value>
            <val>44.06</val>
          </value>
          <value>
            <val>36.26</val>
          </value>
          <value>
            <val>6.85</val>
          </value>
          <value>
            <val>0.28000000000000003</val>
          </value>
          <value>
            <val>24.7</val>
          </value>
        </values>
      </ddeItem>
      <ddeItem name="3645.TW-Name,Bid,Ask,Price,PriceChange,PriceChangeRatio,Volume,TotalVolume,BestBidSize,BestAskSize" advise="1">
        <values cols="10">
          <value t="str">
            <val>達邁</val>
          </value>
          <value>
            <val>114.5</val>
          </value>
          <value t="str">
            <val>--</val>
          </value>
          <value>
            <val>114.5</val>
          </value>
          <value>
            <val>10</val>
          </value>
          <value>
            <val>9.57</val>
          </value>
          <value>
            <val>39</val>
          </value>
          <value>
            <val>19597</val>
          </value>
          <value>
            <val>10214</val>
          </value>
          <value>
            <val>0</val>
          </value>
        </values>
      </ddeItem>
      <ddeItem name="3645.TW-PreClose,InOutRatio,AvgPrice,Capital,Profit,MarketValue" advise="1">
        <values cols="6">
          <value>
            <val>104.5</val>
          </value>
          <value>
            <val>71.510000000000005</val>
          </value>
          <value>
            <val>108.87</val>
          </value>
          <value>
            <val>13.68</val>
          </value>
          <value>
            <val>0.6</val>
          </value>
          <value>
            <val>156.6</val>
          </value>
        </values>
      </ddeItem>
      <ddeItem name="3653.TW-Name,Bid,Ask,Price,PriceChange,PriceChangeRatio,Volume,TotalVolume,BestBidSize,BestAskSize" advise="1">
        <values cols="10">
          <value t="str">
            <val>健策</val>
          </value>
          <value>
            <val>5020</val>
          </value>
          <value t="str">
            <val>--</val>
          </value>
          <value>
            <val>5020</val>
          </value>
          <value>
            <val>455</val>
          </value>
          <value>
            <val>9.9700000000000006</val>
          </value>
          <value>
            <val>20</val>
          </value>
          <value>
            <val>1163</val>
          </value>
          <value>
            <val>287</val>
          </value>
          <value>
            <val>0</val>
          </value>
        </values>
      </ddeItem>
      <ddeItem name="3653.TW-PreClose,InOutRatio,AvgPrice,Capital,Profit,MarketValue" advise="1">
        <values cols="6">
          <value>
            <val>4565</val>
          </value>
          <value>
            <val>65.59</val>
          </value>
          <value>
            <val>4932</val>
          </value>
          <value>
            <val>14.67</val>
          </value>
          <value>
            <val>9.9499999999999993</val>
          </value>
          <value>
            <val>7365.9</val>
          </value>
        </values>
      </ddeItem>
      <ddeItem name="3673.TW-Name,Bid,Ask,Price,PriceChange,PriceChangeRatio,Volume,TotalVolume,BestBidSize,BestAskSize" advise="1">
        <values cols="10">
          <value t="str">
            <val>TPK-KY</val>
          </value>
          <value>
            <val>71.099999999999994</val>
          </value>
          <value>
            <val>71.2</val>
          </value>
          <value>
            <val>71.2</val>
          </value>
          <value>
            <val>-0.9</val>
          </value>
          <value>
            <val>-1.25</val>
          </value>
          <value>
            <val>757</val>
          </value>
          <value>
            <val>31090</val>
          </value>
          <value>
            <val>9</val>
          </value>
          <value>
            <val>37</val>
          </value>
        </values>
      </ddeItem>
      <ddeItem name="3673.TW-PreClose,InOutRatio,AvgPrice,Capital,Profit,MarketValue" advise="1">
        <values cols="6">
          <value>
            <val>72.099999999999994</val>
          </value>
          <value>
            <val>45.96</val>
          </value>
          <value>
            <val>70.77</val>
          </value>
          <value>
            <val>40.67</val>
          </value>
          <value>
            <val>0.15</val>
          </value>
          <value>
            <val>289.5</val>
          </value>
        </values>
      </ddeItem>
      <ddeItem name="3675.TW-Name,Bid,Ask,Price,PriceChange,PriceChangeRatio,Volume,TotalVolume,BestBidSize,BestAskSize" advise="1">
        <values cols="10">
          <value t="str">
            <val>德微</val>
          </value>
          <value>
            <val>203.5</val>
          </value>
          <value>
            <val>204</val>
          </value>
          <value>
            <val>203.5</val>
          </value>
          <value>
            <val>-2.5</val>
          </value>
          <value>
            <val>-1.21</val>
          </value>
          <value>
            <val>40</val>
          </value>
          <value>
            <val>992</val>
          </value>
          <value>
            <val>5</val>
          </value>
          <value>
            <val>1</val>
          </value>
        </values>
      </ddeItem>
      <ddeItem name="3675.TW-PreClose,InOutRatio,AvgPrice,Capital,Profit,MarketValue" advise="1">
        <values cols="6">
          <value>
            <val>206</val>
          </value>
          <value>
            <val>41.24</val>
          </value>
          <value>
            <val>204.87</val>
          </value>
          <value>
            <val>5.31</val>
          </value>
          <value>
            <val>1.1399999999999999</val>
          </value>
          <value>
            <val>108</val>
          </value>
        </values>
      </ddeItem>
      <ddeItem name="3685.TW-Name,Bid,Ask,Price,PriceChange,PriceChangeRatio,Volume,TotalVolume,BestBidSize,BestAskSize" advise="1">
        <values cols="10">
          <value t="str">
            <val>元創精密</val>
          </value>
          <value>
            <val>35</val>
          </value>
          <value>
            <val>35.049999999999997</val>
          </value>
          <value>
            <val>35.049999999999997</val>
          </value>
          <value>
            <val>0.6</val>
          </value>
          <value>
            <val>1.74</val>
          </value>
          <value>
            <val>5</val>
          </value>
          <value>
            <val>888</val>
          </value>
          <value>
            <val>14</val>
          </value>
          <value>
            <val>3</val>
          </value>
        </values>
      </ddeItem>
      <ddeItem name="3685.TW-PreClose,InOutRatio,AvgPrice,Capital,Profit,MarketValue" advise="1">
        <values cols="6">
          <value>
            <val>34.450000000000003</val>
          </value>
          <value>
            <val>40.869999999999997</val>
          </value>
          <value>
            <val>35.49</val>
          </value>
          <value>
            <val>7.96</val>
          </value>
          <value>
            <val>-0.4</val>
          </value>
          <value>
            <val>27.9</val>
          </value>
        </values>
      </ddeItem>
      <ddeItem name="3701.TW-Name,Bid,Ask,Price,PriceChange,PriceChangeRatio,Volume,TotalVolume,BestBidSize,BestAskSize" advise="1">
        <values cols="10">
          <value t="str">
            <val>大眾控</val>
          </value>
          <value>
            <val>67.2</val>
          </value>
          <value>
            <val>67.3</val>
          </value>
          <value>
            <val>67.2</val>
          </value>
          <value>
            <val>1.3</val>
          </value>
          <value>
            <val>1.97</val>
          </value>
          <value>
            <val>642</val>
          </value>
          <value>
            <val>15191</val>
          </value>
          <value>
            <val>14</val>
          </value>
          <value>
            <val>17</val>
          </value>
        </values>
      </ddeItem>
      <ddeItem name="3701.TW-PreClose,InOutRatio,AvgPrice,Capital,Profit,MarketValue" advise="1">
        <values cols="6">
          <value>
            <val>65.900000000000006</val>
          </value>
          <value>
            <val>51.15</val>
          </value>
          <value>
            <val>67.36</val>
          </value>
          <value>
            <val>23.66</val>
          </value>
          <value>
            <val>-1.48</val>
          </value>
          <value>
            <val>159</val>
          </value>
        </values>
      </ddeItem>
      <ddeItem name="3707.TW-Name,Bid,Ask,Price,PriceChange,PriceChangeRatio,Volume,TotalVolume,BestBidSize,BestAskSize" advise="1">
        <values cols="10">
          <value t="str">
            <val>漢磊</val>
          </value>
          <value>
            <val>57.9</val>
          </value>
          <value>
            <val>58</val>
          </value>
          <value>
            <val>57.9</val>
          </value>
          <value>
            <val>1.7</val>
          </value>
          <value>
            <val>3.02</val>
          </value>
          <value>
            <val>426</val>
          </value>
          <value>
            <val>9569</val>
          </value>
          <value>
            <val>51</val>
          </value>
          <value>
            <val>5</val>
          </value>
        </values>
      </ddeItem>
      <ddeItem name="3707.TW-PreClose,InOutRatio,AvgPrice,Capital,Profit,MarketValue" advise="1">
        <values cols="6">
          <value>
            <val>56.2</val>
          </value>
          <value>
            <val>49.98</val>
          </value>
          <value>
            <val>58.63</val>
          </value>
          <value>
            <val>39.65</val>
          </value>
          <value>
            <val>-0.48</val>
          </value>
          <value>
            <val>229</val>
          </value>
        </values>
      </ddeItem>
      <ddeItem name="3708.TW-Name,Bid,Ask,Price,PriceChange,PriceChangeRatio,Volume,TotalVolume,BestBidSize,BestAskSize" advise="1">
        <values cols="10">
          <value t="str">
            <val>上緯投控</val>
          </value>
          <value>
            <val>127.5</val>
          </value>
          <value>
            <val>128</val>
          </value>
          <value>
            <val>128</val>
          </value>
          <value>
            <val>4.5</val>
          </value>
          <value>
            <val>3.64</val>
          </value>
          <value>
            <val>104</val>
          </value>
          <value>
            <val>1973</val>
          </value>
          <value>
            <val>5</val>
          </value>
          <value>
            <val>131</val>
          </value>
        </values>
      </ddeItem>
      <ddeItem name="3708.TW-PreClose,InOutRatio,AvgPrice,Capital,Profit,MarketValue" advise="1">
        <values cols="6">
          <value>
            <val>123.5</val>
          </value>
          <value>
            <val>56.54</val>
          </value>
          <value>
            <val>126.44</val>
          </value>
          <value>
            <val>9.76</val>
          </value>
          <value>
            <val>35.04</val>
          </value>
          <value>
            <val>124.5</val>
          </value>
        </values>
      </ddeItem>
      <ddeItem name="3709.TW-Name,Bid,Ask,Price,PriceChange,PriceChangeRatio,Volume,TotalVolume,BestBidSize,BestAskSize" advise="1">
        <values cols="10">
          <value t="str">
            <val>鑫聯大投控</val>
          </value>
          <value>
            <val>70.3</val>
          </value>
          <value>
            <val>70.400000000000006</val>
          </value>
          <value>
            <val>70.3</val>
          </value>
          <value>
            <val>-1</val>
          </value>
          <value>
            <val>-1.4</val>
          </value>
          <value>
            <val>149</val>
          </value>
          <value>
            <val>2738</val>
          </value>
          <value>
            <val>6</val>
          </value>
          <value>
            <val>24</val>
          </value>
        </values>
      </ddeItem>
      <ddeItem name="3709.TW-PreClose,InOutRatio,AvgPrice,Capital,Profit,MarketValue" advise="1">
        <values cols="6">
          <value>
            <val>71.3</val>
          </value>
          <value>
            <val>27.37</val>
          </value>
          <value>
            <val>71.16</val>
          </value>
          <value>
            <val>12.56</val>
          </value>
          <value>
            <val>3.56</val>
          </value>
          <value>
            <val>88.3</val>
          </value>
        </values>
      </ddeItem>
      <ddeItem name="3712.TW-Name,Bid,Ask,Price,PriceChange,PriceChangeRatio,Volume,TotalVolume,BestBidSize,BestAskSize" advise="1">
        <values cols="10">
          <value t="str">
            <val>永崴投控</val>
          </value>
          <value>
            <val>21.2</val>
          </value>
          <value t="str">
            <val>--</val>
          </value>
          <value>
            <val>21.2</val>
          </value>
          <value>
            <val>1.9</val>
          </value>
          <value>
            <val>9.84</val>
          </value>
          <value>
            <val>1</val>
          </value>
          <value>
            <val>470</val>
          </value>
          <value>
            <val>1584</val>
          </value>
          <value>
            <val>0</val>
          </value>
        </values>
      </ddeItem>
      <ddeItem name="3712.TW-PreClose,InOutRatio,AvgPrice,Capital,Profit,MarketValue" advise="1">
        <values cols="6">
          <value>
            <val>19.3</val>
          </value>
          <value>
            <val>100</val>
          </value>
          <value>
            <val>21.2</val>
          </value>
          <value>
            <val>24.62</val>
          </value>
          <value>
            <val>-3.07</val>
          </value>
          <value>
            <val>52.2</val>
          </value>
        </values>
      </ddeItem>
      <ddeItem name="3715.TW-Name,Bid,Ask,Price,PriceChange,PriceChangeRatio,Volume,TotalVolume,BestBidSize,BestAskSize" advise="1">
        <values cols="10">
          <value t="str">
            <val>定穎投控</val>
          </value>
          <value>
            <val>190.5</val>
          </value>
          <value>
            <val>191</val>
          </value>
          <value>
            <val>190.5</val>
          </value>
          <value>
            <val>-7.5</val>
          </value>
          <value>
            <val>-3.79</val>
          </value>
          <value>
            <val>2359</val>
          </value>
          <value>
            <val>34604</val>
          </value>
          <value>
            <val>166</val>
          </value>
          <value>
            <val>70</val>
          </value>
        </values>
      </ddeItem>
      <ddeItem name="3715.TW-PreClose,InOutRatio,AvgPrice,Capital,Profit,MarketValue" advise="1">
        <values cols="6">
          <value>
            <val>198</val>
          </value>
          <value>
            <val>36.369999999999997</val>
          </value>
          <value>
            <val>193.76</val>
          </value>
          <value>
            <val>28.36</val>
          </value>
          <value>
            <val>0.3</val>
          </value>
          <value>
            <val>540.20000000000005</val>
          </value>
        </values>
      </ddeItem>
      <ddeItem name="4416.TW-Name,Bid,Ask,Price,PriceChange,PriceChangeRatio,Volume,TotalVolume,BestBidSize,BestAskSize" advise="1">
        <values cols="10">
          <value t="str">
            <val>三圓</val>
          </value>
          <value>
            <val>15.7</val>
          </value>
          <value>
            <val>15.75</val>
          </value>
          <value>
            <val>15.7</val>
          </value>
          <value>
            <val>0.6</val>
          </value>
          <value>
            <val>3.97</val>
          </value>
          <value>
            <val>31</val>
          </value>
          <value>
            <val>2414</val>
          </value>
          <value>
            <val>5</val>
          </value>
          <value>
            <val>4</val>
          </value>
        </values>
      </ddeItem>
      <ddeItem name="4416.TW-PreClose,InOutRatio,AvgPrice,Capital,Profit,MarketValue" advise="1">
        <values cols="6">
          <value>
            <val>15.1</val>
          </value>
          <value>
            <val>27.58</val>
          </value>
          <value>
            <val>16.12</val>
          </value>
          <value>
            <val>7.36</val>
          </value>
          <value>
            <val>0.82</val>
          </value>
          <value>
            <val>11.6</val>
          </value>
        </values>
      </ddeItem>
      <ddeItem name="4540.TW-Name,Bid,Ask,Price,PriceChange,PriceChangeRatio,Volume,TotalVolume,BestBidSize,BestAskSize" advise="1">
        <values cols="10">
          <value t="str">
            <val>全球傳動</val>
          </value>
          <value>
            <val>58.5</val>
          </value>
          <value>
            <val>58.8</val>
          </value>
          <value>
            <val>58.8</val>
          </value>
          <value>
            <val>0.9</val>
          </value>
          <value>
            <val>1.55</val>
          </value>
          <value>
            <val>533</val>
          </value>
          <value>
            <val>13280</val>
          </value>
          <value>
            <val>3</val>
          </value>
          <value>
            <val>60</val>
          </value>
        </values>
      </ddeItem>
      <ddeItem name="4540.TW-PreClose,InOutRatio,AvgPrice,Capital,Profit,MarketValue" advise="1">
        <values cols="6">
          <value>
            <val>57.9</val>
          </value>
          <value>
            <val>47.35</val>
          </value>
          <value>
            <val>58.3</val>
          </value>
          <value>
            <val>11.52</val>
          </value>
          <value>
            <val>0.41</val>
          </value>
          <value>
            <val>67.7</val>
          </value>
        </values>
      </ddeItem>
      <ddeItem name="4556.TW-Name,Bid,Ask,Price,PriceChange,PriceChangeRatio,Volume,TotalVolume,BestBidSize,BestAskSize" advise="1">
        <values cols="10">
          <value t="str">
            <val>旭然</val>
          </value>
          <value>
            <val>32</val>
          </value>
          <value>
            <val>32.200000000000003</val>
          </value>
          <value>
            <val>32</val>
          </value>
          <value>
            <val>-0.75</val>
          </value>
          <value>
            <val>-2.29</val>
          </value>
          <value>
            <val>45</val>
          </value>
          <value>
            <val>1833</val>
          </value>
          <value>
            <val>2</val>
          </value>
          <value>
            <val>5</val>
          </value>
        </values>
      </ddeItem>
      <ddeItem name="4556.TW-PreClose,InOutRatio,AvgPrice,Capital,Profit,MarketValue" advise="1">
        <values cols="6">
          <value>
            <val>32.75</val>
          </value>
          <value>
            <val>34.69</val>
          </value>
          <value>
            <val>34.270000000000003</val>
          </value>
          <value>
            <val>4.2300000000000004</val>
          </value>
          <value>
            <val>0.43</val>
          </value>
          <value>
            <val>13.5</val>
          </value>
        </values>
      </ddeItem>
      <ddeItem name="4564.TW-Name,Bid,Ask,Price,PriceChange,PriceChangeRatio,Volume,TotalVolume,BestBidSize,BestAskSize" advise="1">
        <values cols="10">
          <value t="str">
            <val>元翎</val>
          </value>
          <value>
            <val>19.95</val>
          </value>
          <value>
            <val>20</val>
          </value>
          <value>
            <val>19.95</val>
          </value>
          <value>
            <val>0.1</val>
          </value>
          <value>
            <val>0.5</val>
          </value>
          <value>
            <val>31</val>
          </value>
          <value>
            <val>1026</val>
          </value>
          <value>
            <val>16</val>
          </value>
          <value>
            <val>62</val>
          </value>
        </values>
      </ddeItem>
      <ddeItem name="4564.TW-PreClose,InOutRatio,AvgPrice,Capital,Profit,MarketValue" advise="1">
        <values cols="6">
          <value>
            <val>19.850000000000001</val>
          </value>
          <value>
            <val>55.23</val>
          </value>
          <value>
            <val>19.88</val>
          </value>
          <value>
            <val>23.28</val>
          </value>
          <value>
            <val>-0.33</val>
          </value>
          <value>
            <val>46.4</val>
          </value>
        </values>
      </ddeItem>
      <ddeItem name="4576.TW-Name,Bid,Ask,Price,PriceChange,PriceChangeRatio,Volume,TotalVolume,BestBidSize,BestAskSize" advise="1">
        <values cols="10">
          <value t="str">
            <val>大銀微系統</val>
          </value>
          <value>
            <val>198</val>
          </value>
          <value>
            <val>198.5</val>
          </value>
          <value>
            <val>198</val>
          </value>
          <value>
            <val>2</val>
          </value>
          <value>
            <val>1.02</val>
          </value>
          <value>
            <val>73</val>
          </value>
          <value>
            <val>1640</val>
          </value>
          <value>
            <val>2</val>
          </value>
          <value>
            <val>5</val>
          </value>
        </values>
      </ddeItem>
      <ddeItem name="4576.TW-PreClose,InOutRatio,AvgPrice,Capital,Profit,MarketValue" advise="1">
        <values cols="6">
          <value>
            <val>196</val>
          </value>
          <value>
            <val>20.84</val>
          </value>
          <value>
            <val>198.62</val>
          </value>
          <value>
            <val>11.98</val>
          </value>
          <value>
            <val>0.75</val>
          </value>
          <value>
            <val>237.2</val>
          </value>
        </values>
      </ddeItem>
      <ddeItem name="4577.TW-Name,Bid,Ask,Price,PriceChange,PriceChangeRatio,Volume,TotalVolume,BestBidSize,BestAskSize" advise="1">
        <values cols="10">
          <value t="str">
            <val>達航科技</val>
          </value>
          <value>
            <val>145.5</val>
          </value>
          <value>
            <val>146</val>
          </value>
          <value>
            <val>145.5</val>
          </value>
          <value>
            <val>0</val>
          </value>
          <value>
            <val>0</val>
          </value>
          <value>
            <val>33</val>
          </value>
          <value>
            <val>708</val>
          </value>
          <value>
            <val>3</val>
          </value>
          <value>
            <val>7</val>
          </value>
        </values>
      </ddeItem>
      <ddeItem name="4577.TW-PreClose,InOutRatio,AvgPrice,Capital,Profit,MarketValue" advise="1">
        <values cols="6">
          <value>
            <val>145.5</val>
          </value>
          <value>
            <val>40.72</val>
          </value>
          <value>
            <val>146.75</val>
          </value>
          <value>
            <val>4.91</val>
          </value>
          <value>
            <val>0.18</val>
          </value>
          <value>
            <val>71.5</val>
          </value>
        </values>
      </ddeItem>
      <ddeItem name="4707.TW-Name,Bid,Ask,Price,PriceChange,PriceChangeRatio,Volume,TotalVolume,BestBidSize,BestAskSize" advise="1">
        <values cols="10">
          <value t="str">
            <val>磐亞</val>
          </value>
          <value>
            <val>15.85</val>
          </value>
          <value>
            <val>15.9</val>
          </value>
          <value>
            <val>15.85</val>
          </value>
          <value>
            <val>0.8</val>
          </value>
          <value>
            <val>5.32</val>
          </value>
          <value>
            <val>240</val>
          </value>
          <value>
            <val>9170</val>
          </value>
          <value>
            <val>6</val>
          </value>
          <value>
            <val>23</val>
          </value>
        </values>
      </ddeItem>
      <ddeItem name="4707.TW-PreClose,InOutRatio,AvgPrice,Capital,Profit,MarketValue" advise="1">
        <values cols="6">
          <value>
            <val>15.05</val>
          </value>
          <value>
            <val>56.09</val>
          </value>
          <value>
            <val>15.26</val>
          </value>
          <value>
            <val>40.369999999999997</val>
          </value>
          <value>
            <val>0.28999999999999998</val>
          </value>
          <value>
            <val>64</val>
          </value>
        </values>
      </ddeItem>
      <ddeItem name="4716.TW-Name,Bid,Ask,Price,PriceChange,PriceChangeRatio,Volume,TotalVolume,BestBidSize,BestAskSize" advise="1">
        <values cols="10">
          <value t="str">
            <val>大立</val>
          </value>
          <value>
            <val>15.7</val>
          </value>
          <value>
            <val>15.8</val>
          </value>
          <value>
            <val>15.75</val>
          </value>
          <value>
            <val>-0.45</val>
          </value>
          <value>
            <val>-2.78</val>
          </value>
          <value>
            <val>30</val>
          </value>
          <value>
            <val>703</val>
          </value>
          <value>
            <val>16</val>
          </value>
          <value>
            <val>3</val>
          </value>
        </values>
      </ddeItem>
      <ddeItem name="4716.TW-PreClose,InOutRatio,AvgPrice,Capital,Profit,MarketValue" advise="1">
        <values cols="6">
          <value>
            <val>16.2</val>
          </value>
          <value>
            <val>36.950000000000003</val>
          </value>
          <value>
            <val>15.8</val>
          </value>
          <value>
            <val>9.44</val>
          </value>
          <value>
            <val>-0.06</val>
          </value>
          <value>
            <val>14.9</val>
          </value>
        </values>
      </ddeItem>
      <ddeItem name="4720.TW-Name,Bid,Ask,Price,PriceChange,PriceChangeRatio,Volume,TotalVolume,BestBidSize,BestAskSize" advise="1">
        <values cols="10">
          <value t="str">
            <val>德淵</val>
          </value>
          <value>
            <val>24.3</val>
          </value>
          <value t="str">
            <val>--</val>
          </value>
          <value>
            <val>24.3</val>
          </value>
          <value>
            <val>2.2000000000000002</val>
          </value>
          <value>
            <val>9.9499999999999993</val>
          </value>
          <value>
            <val>13</val>
          </value>
          <value>
            <val>9295</val>
          </value>
          <value>
            <val>2780</val>
          </value>
          <value>
            <val>0</val>
          </value>
        </values>
      </ddeItem>
      <ddeItem name="4720.TW-PreClose,InOutRatio,AvgPrice,Capital,Profit,MarketValue" advise="1">
        <values cols="6">
          <value>
            <val>22.1</val>
          </value>
          <value>
            <val>68.55</val>
          </value>
          <value>
            <val>23.26</val>
          </value>
          <value>
            <val>11.45</val>
          </value>
          <value>
            <val>0.19</val>
          </value>
          <value>
            <val>27.8</val>
          </value>
        </values>
      </ddeItem>
      <ddeItem name="4755.TW-Name,Bid,Ask,Price,PriceChange,PriceChangeRatio,Volume,TotalVolume,BestBidSize,BestAskSize" advise="1">
        <values cols="10">
          <value t="str">
            <val>三福化</val>
          </value>
          <value>
            <val>166.5</val>
          </value>
          <value t="str">
            <val>--</val>
          </value>
          <value>
            <val>166.5</val>
          </value>
          <value>
            <val>15</val>
          </value>
          <value>
            <val>9.9</val>
          </value>
          <value>
            <val>5</val>
          </value>
          <value>
            <val>2033</val>
          </value>
          <value>
            <val>3158</val>
          </value>
          <value>
            <val>0</val>
          </value>
        </values>
      </ddeItem>
      <ddeItem name="4755.TW-PreClose,InOutRatio,AvgPrice,Capital,Profit,MarketValue" advise="1">
        <values cols="6">
          <value>
            <val>151.5</val>
          </value>
          <value>
            <val>85.02</val>
          </value>
          <value>
            <val>164.69</val>
          </value>
          <value>
            <val>10.07</val>
          </value>
          <value>
            <val>1.3</val>
          </value>
          <value>
            <val>167.7</val>
          </value>
        </values>
      </ddeItem>
      <ddeItem name="4764.TW-Name,Bid,Ask,Price,PriceChange,PriceChangeRatio,Volume,TotalVolume,BestBidSize,BestAskSize" advise="1">
        <values cols="10">
          <value t="str">
            <val>雙鍵</val>
          </value>
          <value>
            <val>233.5</val>
          </value>
          <value t="str">
            <val>--</val>
          </value>
          <value>
            <val>233.5</val>
          </value>
          <value>
            <val>21</val>
          </value>
          <value>
            <val>9.8800000000000008</val>
          </value>
          <value>
            <val>15</val>
          </value>
          <value>
            <val>837</val>
          </value>
          <value>
            <val>476</val>
          </value>
          <value>
            <val>0</val>
          </value>
        </values>
      </ddeItem>
      <ddeItem name="4764.TW-PreClose,InOutRatio,AvgPrice,Capital,Profit,MarketValue" advise="1">
        <values cols="6">
          <value>
            <val>212.5</val>
          </value>
          <value>
            <val>100</val>
          </value>
          <value>
            <val>233.5</val>
          </value>
          <value>
            <val>8.5500000000000007</val>
          </value>
          <value>
            <val>0.61</val>
          </value>
          <value>
            <val>199.7</val>
          </value>
        </values>
      </ddeItem>
      <ddeItem name="4927.TW-Name,Bid,Ask,Price,PriceChange,PriceChangeRatio,Volume,TotalVolume,BestBidSize,BestAskSize" advise="1">
        <values cols="10">
          <value t="str">
            <val>泰鼎-KY</val>
          </value>
          <value>
            <val>52.2</val>
          </value>
          <value>
            <val>52.3</val>
          </value>
          <value>
            <val>52.2</val>
          </value>
          <value>
            <val>2.1</val>
          </value>
          <value>
            <val>4.1900000000000004</val>
          </value>
          <value>
            <val>1003</val>
          </value>
          <value>
            <val>26664</val>
          </value>
          <value>
            <val>166</val>
          </value>
          <value>
            <val>24</val>
          </value>
        </values>
      </ddeItem>
      <ddeItem name="4927.TW-PreClose,InOutRatio,AvgPrice,Capital,Profit,MarketValue" advise="1">
        <values cols="6">
          <value>
            <val>50.1</val>
          </value>
          <value>
            <val>48.39</val>
          </value>
          <value>
            <val>50.63</val>
          </value>
          <value>
            <val>26.49</val>
          </value>
          <value>
            <val>-3.97</val>
          </value>
          <value>
            <val>138.30000000000001</val>
          </value>
        </values>
      </ddeItem>
      <ddeItem name="4934.TW-Name,Bid,Ask,Price,PriceChange,PriceChangeRatio,Volume,TotalVolume,BestBidSize,BestAskSize" advise="1">
        <values cols="10">
          <value t="str">
            <val>太極</val>
          </value>
          <value>
            <val>17.05</val>
          </value>
          <value>
            <val>17.100000000000001</val>
          </value>
          <value>
            <val>17.05</val>
          </value>
          <value>
            <val>0.25</val>
          </value>
          <value>
            <val>1.49</val>
          </value>
          <value>
            <val>64</val>
          </value>
          <value>
            <val>1639</val>
          </value>
          <value>
            <val>12</val>
          </value>
          <value>
            <val>12</val>
          </value>
        </values>
      </ddeItem>
      <ddeItem name="4934.TW-PreClose,InOutRatio,AvgPrice,Capital,Profit,MarketValue" advise="1">
        <values cols="6">
          <value>
            <val>16.8</val>
          </value>
          <value>
            <val>47.76</val>
          </value>
          <value>
            <val>17.010000000000002</val>
          </value>
          <value>
            <val>22.5</val>
          </value>
          <value>
            <val>-0.28000000000000003</val>
          </value>
          <value>
            <val>38.4</val>
          </value>
        </values>
      </ddeItem>
      <ddeItem name="4956.TW-Name,Bid,Ask,Price,PriceChange,PriceChangeRatio,Volume,TotalVolume,BestBidSize,BestAskSize" advise="1">
        <values cols="10">
          <value t="str">
            <val>光鋐</val>
          </value>
          <value>
            <val>54.7</val>
          </value>
          <value t="str">
            <val>--</val>
          </value>
          <value>
            <val>54.7</val>
          </value>
          <value>
            <val>4.95</val>
          </value>
          <value>
            <val>9.9499999999999993</val>
          </value>
          <value>
            <val>11</val>
          </value>
          <value>
            <val>1376</val>
          </value>
          <value>
            <val>3554</val>
          </value>
          <value>
            <val>0</val>
          </value>
        </values>
      </ddeItem>
      <ddeItem name="4956.TW-PreClose,InOutRatio,AvgPrice,Capital,Profit,MarketValue" advise="1">
        <values cols="6">
          <value>
            <val>49.75</val>
          </value>
          <value>
            <val>100</val>
          </value>
          <value>
            <val>54.7</val>
          </value>
          <value>
            <val>10.039999999999999</val>
          </value>
          <value>
            <val>0.23</val>
          </value>
          <value>
            <val>54.9</val>
          </value>
        </values>
      </ddeItem>
      <ddeItem name="4958.TW-Name,Bid,Ask,Price,PriceChange,PriceChangeRatio,Volume,TotalVolume,BestBidSize,BestAskSize" advise="1">
        <values cols="10">
          <value t="str">
            <val>臻鼎-KY</val>
          </value>
          <value>
            <val>310</val>
          </value>
          <value t="str">
            <val>--</val>
          </value>
          <value>
            <val>310</val>
          </value>
          <value>
            <val>28</val>
          </value>
          <value>
            <val>9.93</val>
          </value>
          <value>
            <val>62</val>
          </value>
          <value>
            <val>46464</val>
          </value>
          <value>
            <val>24515</val>
          </value>
          <value>
            <val>0</val>
          </value>
        </values>
      </ddeItem>
      <ddeItem name="4958.TW-PreClose,InOutRatio,AvgPrice,Capital,Profit,MarketValue" advise="1">
        <values cols="6">
          <value>
            <val>282</val>
          </value>
          <value>
            <val>60.55</val>
          </value>
          <value>
            <val>299.95999999999998</val>
          </value>
          <value>
            <val>107.06</val>
          </value>
          <value>
            <val>3.22</val>
          </value>
          <value>
            <val>3318.8</val>
          </value>
        </values>
      </ddeItem>
      <ddeItem name="4960.TW-Name,Bid,Ask,Price,PriceChange,PriceChangeRatio,Volume,TotalVolume,BestBidSize,BestAskSize" advise="1">
        <values cols="10">
          <value t="str">
            <val>誠美材</val>
          </value>
          <value>
            <val>37.200000000000003</val>
          </value>
          <value t="str">
            <val>--</val>
          </value>
          <value>
            <val>37.200000000000003</val>
          </value>
          <value>
            <val>3.35</val>
          </value>
          <value>
            <val>9.9</val>
          </value>
          <value>
            <val>66</val>
          </value>
          <value>
            <val>8866</val>
          </value>
          <value>
            <val>2685</val>
          </value>
          <value>
            <val>0</val>
          </value>
        </values>
      </ddeItem>
      <ddeItem name="4960.TW-PreClose,InOutRatio,AvgPrice,Capital,Profit,MarketValue" advise="1">
        <values cols="6">
          <value>
            <val>33.85</val>
          </value>
          <value>
            <val>100</val>
          </value>
          <value>
            <val>37.200000000000003</val>
          </value>
          <value>
            <val>57.17</val>
          </value>
          <value>
            <val>-0.46</val>
          </value>
          <value>
            <val>212.7</val>
          </value>
        </values>
      </ddeItem>
      <ddeItem name="4971.TW-Name,Bid,Ask,Price,PriceChange,PriceChangeRatio,Volume,TotalVolume,BestBidSize,BestAskSize" advise="1">
        <values cols="10">
          <value t="str">
            <val>IET-KY</val>
          </value>
          <value>
            <val>843</val>
          </value>
          <value t="str">
            <val>--</val>
          </value>
          <value>
            <val>843</val>
          </value>
          <value>
            <val>76</val>
          </value>
          <value>
            <val>9.91</val>
          </value>
          <value>
            <val>4</val>
          </value>
          <value>
            <val>342</val>
          </value>
          <value>
            <val>131</val>
          </value>
          <value>
            <val>0</val>
          </value>
        </values>
      </ddeItem>
      <ddeItem name="4971.TW-PreClose,InOutRatio,AvgPrice,Capital,Profit,MarketValue" advise="1">
        <values cols="6">
          <value>
            <val>767</val>
          </value>
          <value>
            <val>100</val>
          </value>
          <value>
            <val>843</val>
          </value>
          <value>
            <val>4</val>
          </value>
          <value>
            <val>1.55</val>
          </value>
          <value>
            <val>337.1</val>
          </value>
        </values>
      </ddeItem>
      <ddeItem name="4977.TW-Name,Bid,Ask,Price,PriceChange,PriceChangeRatio,Volume,TotalVolume,BestBidSize,BestAskSize" advise="1">
        <values cols="10">
          <value t="str">
            <val>眾達-KY</val>
          </value>
          <value>
            <val>241.5</val>
          </value>
          <value>
            <val>242</val>
          </value>
          <value>
            <val>241.5</val>
          </value>
          <value>
            <val>6</val>
          </value>
          <value>
            <val>2.5499999999999998</val>
          </value>
          <value>
            <val>733</val>
          </value>
          <value>
            <val>32468</val>
          </value>
          <value>
            <val>323</val>
          </value>
          <value>
            <val>60</val>
          </value>
        </values>
      </ddeItem>
      <ddeItem name="4977.TW-PreClose,InOutRatio,AvgPrice,Capital,Profit,MarketValue" advise="1">
        <values cols="6">
          <value>
            <val>235.5</val>
          </value>
          <value>
            <val>44.38</val>
          </value>
          <value>
            <val>242.49</val>
          </value>
          <value>
            <val>8.02</val>
          </value>
          <value>
            <val>0.95</val>
          </value>
          <value>
            <val>193.7</val>
          </value>
        </values>
      </ddeItem>
      <ddeItem name="4979.TW-Name,Bid,Ask,Price,PriceChange,PriceChangeRatio,Volume,TotalVolume,BestBidSize,BestAskSize" advise="1">
        <values cols="10">
          <value t="str">
            <val>華星光</val>
          </value>
          <value>
            <val>708</val>
          </value>
          <value t="str">
            <val>--</val>
          </value>
          <value>
            <val>708</val>
          </value>
          <value>
            <val>64</val>
          </value>
          <value>
            <val>9.94</val>
          </value>
          <value>
            <val>33</val>
          </value>
          <value>
            <val>9290</val>
          </value>
          <value>
            <val>1182</val>
          </value>
          <value>
            <val>0</val>
          </value>
        </values>
      </ddeItem>
      <ddeItem name="4979.TW-PreClose,InOutRatio,AvgPrice,Capital,Profit,MarketValue" advise="1">
        <values cols="6">
          <value>
            <val>644</val>
          </value>
          <value>
            <val>67.599999999999994</val>
          </value>
          <value>
            <val>705.52</val>
          </value>
          <value>
            <val>14.24</val>
          </value>
          <value>
            <val>1.69</val>
          </value>
          <value>
            <val>1003.2</val>
          </value>
        </values>
      </ddeItem>
      <ddeItem name="4991.TW-Name,Bid,Ask,Price,PriceChange,PriceChangeRatio,Volume,TotalVolume,BestBidSize,BestAskSize" advise="1">
        <values cols="10">
          <value t="str">
            <val>環宇-KY</val>
          </value>
          <value>
            <val>723</val>
          </value>
          <value>
            <val>724</val>
          </value>
          <value>
            <val>724</val>
          </value>
          <value>
            <val>64</val>
          </value>
          <value>
            <val>9.6999999999999993</val>
          </value>
          <value>
            <val>84</val>
          </value>
          <value>
            <val>873</val>
          </value>
          <value>
            <val>1</val>
          </value>
          <value>
            <val>3</val>
          </value>
        </values>
      </ddeItem>
      <ddeItem name="4991.TW-PreClose,InOutRatio,AvgPrice,Capital,Profit,MarketValue" advise="1">
        <values cols="6">
          <value>
            <val>660</val>
          </value>
          <value>
            <val>67.739999999999995</val>
          </value>
          <value>
            <val>715.2</val>
          </value>
          <value>
            <val>12.09</val>
          </value>
          <value>
            <val>0.6</val>
          </value>
          <value>
            <val>875.5</val>
          </value>
        </values>
      </ddeItem>
      <ddeItem name="5222.TW-Name,Bid,Ask,Price,PriceChange,PriceChangeRatio,Volume,TotalVolume,BestBidSize,BestAskSize" advise="1">
        <values cols="10">
          <value t="str">
            <val>全訊</val>
          </value>
          <value>
            <val>143.5</val>
          </value>
          <value>
            <val>144</val>
          </value>
          <value>
            <val>143.5</val>
          </value>
          <value>
            <val>-1</val>
          </value>
          <value>
            <val>-0.69</val>
          </value>
          <value>
            <val>155</val>
          </value>
          <value>
            <val>5820</val>
          </value>
          <value>
            <val>1</val>
          </value>
          <value>
            <val>18</val>
          </value>
        </values>
      </ddeItem>
      <ddeItem name="5222.TW-PreClose,InOutRatio,AvgPrice,Capital,Profit,MarketValue" advise="1">
        <values cols="6">
          <value>
            <val>144.5</val>
          </value>
          <value>
            <val>40.5</val>
          </value>
          <value>
            <val>147.35</val>
          </value>
          <value>
            <val>9.11</val>
          </value>
          <value>
            <val>0.61</val>
          </value>
          <value>
            <val>130.5</val>
          </value>
        </values>
      </ddeItem>
      <ddeItem name="5228.TW-Name,Bid,Ask,Price,PriceChange,PriceChangeRatio,Volume,TotalVolume,BestBidSize,BestAskSize" advise="1">
        <values cols="10">
          <value t="str">
            <val>鈺鎧</val>
          </value>
          <value>
            <val>36.65</val>
          </value>
          <value>
            <val>37</val>
          </value>
          <value>
            <val>36.65</val>
          </value>
          <value>
            <val>-0.45</val>
          </value>
          <value>
            <val>-1.21</val>
          </value>
          <value>
            <val>55</val>
          </value>
          <value>
            <val>1404</val>
          </value>
          <value>
            <val>1</val>
          </value>
          <value>
            <val>18</val>
          </value>
        </values>
      </ddeItem>
      <ddeItem name="5228.TW-PreClose,InOutRatio,AvgPrice,Capital,Profit,MarketValue" advise="1">
        <values cols="6">
          <value>
            <val>37.1</val>
          </value>
          <value>
            <val>36.35</val>
          </value>
          <value>
            <val>38.22</val>
          </value>
          <value>
            <val>3.81</val>
          </value>
          <value>
            <val>0.71</val>
          </value>
          <value>
            <val>13.9</val>
          </value>
        </values>
      </ddeItem>
      <ddeItem name="5234.TW-Name,Bid,Ask,Price,PriceChange,PriceChangeRatio,Volume,TotalVolume,BestBidSize,BestAskSize" advise="1">
        <values cols="10">
          <value t="str">
            <val>達興材料</val>
          </value>
          <value>
            <val>456</val>
          </value>
          <value>
            <val>456.5</val>
          </value>
          <value>
            <val>456.5</val>
          </value>
          <value>
            <val>13.5</val>
          </value>
          <value>
            <val>3.05</val>
          </value>
          <value>
            <val>46</val>
          </value>
          <value>
            <val>911</val>
          </value>
          <value>
            <val>1</val>
          </value>
          <value>
            <val>7</val>
          </value>
        </values>
      </ddeItem>
      <ddeItem name="5234.TW-PreClose,InOutRatio,AvgPrice,Capital,Profit,MarketValue" advise="1">
        <values cols="6">
          <value>
            <val>443</val>
          </value>
          <value>
            <val>58.19</val>
          </value>
          <value>
            <val>455.89</val>
          </value>
          <value>
            <val>10.27</val>
          </value>
          <value>
            <val>2.0299999999999998</val>
          </value>
          <value>
            <val>468.9</val>
          </value>
        </values>
      </ddeItem>
      <ddeItem name="5244.TW-Name,Bid,Ask,Price,PriceChange,PriceChangeRatio,Volume,TotalVolume,BestBidSize,BestAskSize" advise="1">
        <values cols="10">
          <value t="str">
            <val>弘凱</val>
          </value>
          <value>
            <val>50.8</val>
          </value>
          <value t="str">
            <val>--</val>
          </value>
          <value>
            <val>50.8</val>
          </value>
          <value>
            <val>4.5999999999999996</val>
          </value>
          <value>
            <val>9.9600000000000009</val>
          </value>
          <value>
            <val>23</val>
          </value>
          <value>
            <val>7773</val>
          </value>
          <value>
            <val>2683</val>
          </value>
          <value>
            <val>0</val>
          </value>
        </values>
      </ddeItem>
      <ddeItem name="5244.TW-PreClose,InOutRatio,AvgPrice,Capital,Profit,MarketValue" advise="1">
        <values cols="6">
          <value>
            <val>46.2</val>
          </value>
          <value>
            <val>74.349999999999994</val>
          </value>
          <value>
            <val>50.41</val>
          </value>
          <value>
            <val>6.82</val>
          </value>
          <value>
            <val>-0.14000000000000001</val>
          </value>
          <value>
            <val>34.700000000000003</val>
          </value>
        </values>
      </ddeItem>
      <ddeItem name="5340.TW-Name,Bid,Ask,Price,PriceChange,PriceChangeRatio,Volume,TotalVolume,BestBidSize,BestAskSize" advise="1">
        <values cols="10">
          <value t="str">
            <val>建榮</val>
          </value>
          <value>
            <val>125.5</val>
          </value>
          <value>
            <val>126</val>
          </value>
          <value>
            <val>125.5</val>
          </value>
          <value>
            <val>-8.5</val>
          </value>
          <value>
            <val>-6.34</val>
          </value>
          <value>
            <val>1103</val>
          </value>
          <value>
            <val>17445</val>
          </value>
          <value>
            <val>42</val>
          </value>
          <value>
            <val>75</val>
          </value>
        </values>
      </ddeItem>
      <ddeItem name="5340.TW-PreClose,InOutRatio,AvgPrice,Capital,Profit,MarketValue" advise="1">
        <values cols="6">
          <value>
            <val>134</val>
          </value>
          <value>
            <val>45.48</val>
          </value>
          <value>
            <val>127.98</val>
          </value>
          <value>
            <val>19.489999999999998</val>
          </value>
          <value>
            <val>0.41</val>
          </value>
          <value>
            <val>244.6</val>
          </value>
        </values>
      </ddeItem>
      <ddeItem name="5425.TW-Name,Bid,Ask,Price,PriceChange,PriceChangeRatio,Volume,TotalVolume,BestBidSize,BestAskSize" advise="1">
        <values cols="10">
          <value t="str">
            <val>台半</val>
          </value>
          <value>
            <val>62.2</val>
          </value>
          <value>
            <val>62.3</val>
          </value>
          <value>
            <val>62.2</val>
          </value>
          <value>
            <val>-3.5</val>
          </value>
          <value>
            <val>-5.33</val>
          </value>
          <value>
            <val>948</val>
          </value>
          <value>
            <val>18511</val>
          </value>
          <value>
            <val>73</val>
          </value>
          <value>
            <val>65</val>
          </value>
        </values>
      </ddeItem>
      <ddeItem name="5425.TW-PreClose,InOutRatio,AvgPrice,Capital,Profit,MarketValue" advise="1">
        <values cols="6">
          <value>
            <val>65.7</val>
          </value>
          <value>
            <val>40.69</val>
          </value>
          <value>
            <val>62.83</val>
          </value>
          <value>
            <val>26.35</val>
          </value>
          <value>
            <val>0.84</val>
          </value>
          <value>
            <val>163.9</val>
          </value>
        </values>
      </ddeItem>
      <ddeItem name="5475.TW-Name,Bid,Ask,Price,PriceChange,PriceChangeRatio,Volume,TotalVolume,BestBidSize,BestAskSize" advise="1">
        <values cols="10">
          <value t="str">
            <val>德宏</val>
          </value>
          <value>
            <val>399.5</val>
          </value>
          <value>
            <val>400</val>
          </value>
          <value>
            <val>400</val>
          </value>
          <value>
            <val>31.5</val>
          </value>
          <value>
            <val>8.5500000000000007</val>
          </value>
          <value>
            <val>44</val>
          </value>
          <value>
            <val>5805</val>
          </value>
          <value>
            <val>3</val>
          </value>
          <value>
            <val>8</val>
          </value>
        </values>
      </ddeItem>
      <ddeItem name="5475.TW-PreClose,InOutRatio,AvgPrice,Capital,Profit,MarketValue" advise="1">
        <values cols="6">
          <value>
            <val>368.5</val>
          </value>
          <value>
            <val>36.64</val>
          </value>
          <value>
            <val>377.24</val>
          </value>
          <value>
            <val>12.71</val>
          </value>
          <value>
            <val>0.1</val>
          </value>
          <value>
            <val>508.5</val>
          </value>
        </values>
      </ddeItem>
      <ddeItem name="6139.TW-Name,Bid,Ask,Price,PriceChange,PriceChangeRatio,Volume,TotalVolume,BestBidSize,BestAskSize" advise="1">
        <values cols="10">
          <value t="str">
            <val>亞翔</val>
          </value>
          <value>
            <val>751</val>
          </value>
          <value>
            <val>752</val>
          </value>
          <value>
            <val>751</val>
          </value>
          <value>
            <val>28</val>
          </value>
          <value>
            <val>3.87</val>
          </value>
          <value>
            <val>285</val>
          </value>
          <value>
            <val>6734</val>
          </value>
          <value>
            <val>4</val>
          </value>
          <value>
            <val>6</val>
          </value>
        </values>
      </ddeItem>
      <ddeItem name="6139.TW-PreClose,InOutRatio,AvgPrice,Capital,Profit,MarketValue" advise="1">
        <values cols="6">
          <value>
            <val>723</val>
          </value>
          <value>
            <val>43.16</val>
          </value>
          <value>
            <val>750.05</val>
          </value>
          <value>
            <val>23.56</val>
          </value>
          <value>
            <val>13.2</val>
          </value>
          <value>
            <val>1767.3</val>
          </value>
        </values>
      </ddeItem>
      <ddeItem name="6141.TW-Name,Bid,Ask,Price,PriceChange,PriceChangeRatio,Volume,TotalVolume,BestBidSize,BestAskSize" advise="1">
        <values cols="10">
          <value t="str">
            <val>柏承</val>
          </value>
          <value>
            <val>34.299999999999997</val>
          </value>
          <value t="str">
            <val>--</val>
          </value>
          <value>
            <val>34.299999999999997</val>
          </value>
          <value>
            <val>3.1</val>
          </value>
          <value>
            <val>9.94</val>
          </value>
          <value>
            <val>14</val>
          </value>
          <value>
            <val>10648</val>
          </value>
          <value>
            <val>452</val>
          </value>
          <value>
            <val>0</val>
          </value>
        </values>
      </ddeItem>
      <ddeItem name="6141.TW-PreClose,InOutRatio,AvgPrice,Capital,Profit,MarketValue" advise="1">
        <values cols="6">
          <value>
            <val>31.2</val>
          </value>
          <value>
            <val>61.58</val>
          </value>
          <value>
            <val>33.74</val>
          </value>
          <value>
            <val>11.34</val>
          </value>
          <value>
            <val>-2.66</val>
          </value>
          <value>
            <val>38.9</val>
          </value>
        </values>
      </ddeItem>
      <ddeItem name="6153.TW-Name,Bid,Ask,Price,PriceChange,PriceChangeRatio,Volume,TotalVolume,BestBidSize,BestAskSize" advise="1">
        <values cols="10">
          <value t="str">
            <val>嘉聯益</val>
          </value>
          <value>
            <val>18.75</val>
          </value>
          <value>
            <val>18.8</val>
          </value>
          <value>
            <val>18.8</val>
          </value>
          <value>
            <val>0.05</val>
          </value>
          <value>
            <val>0.27</val>
          </value>
          <value>
            <val>498</val>
          </value>
          <value>
            <val>10832</val>
          </value>
          <value>
            <val>5</val>
          </value>
          <value>
            <val>3</val>
          </value>
        </values>
      </ddeItem>
      <ddeItem name="6153.TW-PreClose,InOutRatio,AvgPrice,Capital,Profit,MarketValue" advise="1">
        <values cols="6">
          <value>
            <val>18.75</val>
          </value>
          <value>
            <val>39.42</val>
          </value>
          <value>
            <val>18.75</val>
          </value>
          <value>
            <val>63.62</val>
          </value>
          <value>
            <val>-1.53</val>
          </value>
          <value>
            <val>119.6</val>
          </value>
        </values>
      </ddeItem>
      <ddeItem name="6166.TW-Name,Bid,Ask,Price,PriceChange,PriceChangeRatio,Volume,TotalVolume,BestBidSize,BestAskSize" advise="1">
        <values cols="10">
          <value t="str">
            <val>凌華</val>
          </value>
          <value>
            <val>78.2</val>
          </value>
          <value>
            <val>78.5</val>
          </value>
          <value>
            <val>78.5</val>
          </value>
          <value>
            <val>4.7</val>
          </value>
          <value>
            <val>6.37</val>
          </value>
          <value>
            <val>157</val>
          </value>
          <value>
            <val>3099</val>
          </value>
          <value>
            <val>3</val>
          </value>
          <value>
            <val>4</val>
          </value>
        </values>
      </ddeItem>
      <ddeItem name="6166.TW-PreClose,InOutRatio,AvgPrice,Capital,Profit,MarketValue" advise="1">
        <values cols="6">
          <value>
            <val>73.8</val>
          </value>
          <value>
            <val>52.63</val>
          </value>
          <value>
            <val>76.64</val>
          </value>
          <value>
            <val>21.77</val>
          </value>
          <value>
            <val>0.83</val>
          </value>
          <value>
            <val>170.8</val>
          </value>
        </values>
      </ddeItem>
      <ddeItem name="6168.TW-Name,Bid,Ask,Price,PriceChange,PriceChangeRatio,Volume,TotalVolume,BestBidSize,BestAskSize" advise="1">
        <values cols="10">
          <value t="str">
            <val>宏齊</val>
          </value>
          <value>
            <val>29.9</val>
          </value>
          <value>
            <val>29.95</val>
          </value>
          <value>
            <val>29.95</val>
          </value>
          <value>
            <val>1.1499999999999999</val>
          </value>
          <value>
            <val>3.99</val>
          </value>
          <value>
            <val>873</val>
          </value>
          <value>
            <val>19407</val>
          </value>
          <value>
            <val>6</val>
          </value>
          <value>
            <val>28</val>
          </value>
        </values>
      </ddeItem>
      <ddeItem name="6168.TW-PreClose,InOutRatio,AvgPrice,Capital,Profit,MarketValue" advise="1">
        <values cols="6">
          <value>
            <val>28.8</val>
          </value>
          <value>
            <val>47.27</val>
          </value>
          <value>
            <val>30.01</val>
          </value>
          <value>
            <val>20.58</val>
          </value>
          <value>
            <val>0.01</val>
          </value>
          <value>
            <val>61.7</val>
          </value>
        </values>
      </ddeItem>
      <ddeItem name="6173.TW-Name,Bid,Ask,Price,PriceChange,PriceChangeRatio,Volume,TotalVolume,BestBidSize,BestAskSize" advise="1">
        <values cols="10">
          <value t="str">
            <val>信昌電</val>
          </value>
          <value>
            <val>90.6</val>
          </value>
          <value>
            <val>90.7</val>
          </value>
          <value>
            <val>90.7</val>
          </value>
          <value>
            <val>-1.5</val>
          </value>
          <value>
            <val>-1.63</val>
          </value>
          <value>
            <val>920</val>
          </value>
          <value>
            <val>50837</val>
          </value>
          <value>
            <val>55</val>
          </value>
          <value>
            <val>1</val>
          </value>
        </values>
      </ddeItem>
      <ddeItem name="6173.TW-PreClose,InOutRatio,AvgPrice,Capital,Profit,MarketValue" advise="1">
        <values cols="6">
          <value>
            <val>92.2</val>
          </value>
          <value>
            <val>48.84</val>
          </value>
          <value>
            <val>88.85</val>
          </value>
          <value>
            <val>17.2</val>
          </value>
          <value>
            <val>1.1399999999999999</val>
          </value>
          <value>
            <val>156</val>
          </value>
        </values>
      </ddeItem>
      <ddeItem name="6174.TW-Name,Bid,Ask,Price,PriceChange,PriceChangeRatio,Volume,TotalVolume,BestBidSize,BestAskSize" advise="1">
        <values cols="10">
          <value t="str">
            <val>安碁</val>
          </value>
          <value>
            <val>30.1</val>
          </value>
          <value>
            <val>30.2</val>
          </value>
          <value>
            <val>30.2</val>
          </value>
          <value>
            <val>2.7</val>
          </value>
          <value>
            <val>9.82</val>
          </value>
          <value>
            <val>19</val>
          </value>
          <value>
            <val>3708</val>
          </value>
          <value>
            <val>2</val>
          </value>
          <value>
            <val>3</val>
          </value>
        </values>
      </ddeItem>
      <ddeItem name="6174.TW-PreClose,InOutRatio,AvgPrice,Capital,Profit,MarketValue" advise="1">
        <values cols="6">
          <value>
            <val>27.5</val>
          </value>
          <value>
            <val>69.319999999999993</val>
          </value>
          <value>
            <val>29.59</val>
          </value>
          <value>
            <val>5</val>
          </value>
          <value>
            <val>0.26</val>
          </value>
          <value>
            <val>15.1</val>
          </value>
        </values>
      </ddeItem>
      <ddeItem name="6187.TW-Name,Bid,Ask,Price,PriceChange,PriceChangeRatio,Volume,TotalVolume,BestBidSize,BestAskSize" advise="1">
        <values cols="10">
          <value t="str">
            <val>萬潤</val>
          </value>
          <value>
            <val>1225</val>
          </value>
          <value>
            <val>1230</val>
          </value>
          <value>
            <val>1225</val>
          </value>
          <value>
            <val>10</val>
          </value>
          <value>
            <val>0.82</val>
          </value>
          <value>
            <val>144</val>
          </value>
          <value>
            <val>5666</val>
          </value>
          <value>
            <val>51</val>
          </value>
          <value>
            <val>31</val>
          </value>
        </values>
      </ddeItem>
      <ddeItem name="6187.TW-PreClose,InOutRatio,AvgPrice,Capital,Profit,MarketValue" advise="1">
        <values cols="6">
          <value>
            <val>1215</val>
          </value>
          <value>
            <val>49.99</val>
          </value>
          <value>
            <val>1243.56</val>
          </value>
          <value>
            <val>9.8000000000000007</val>
          </value>
          <value>
            <val>3.36</val>
          </value>
          <value>
            <val>1191.7</val>
          </value>
        </values>
      </ddeItem>
      <ddeItem name="6196.TW-Name,Bid,Ask,Price,PriceChange,PriceChangeRatio,Volume,TotalVolume,BestBidSize,BestAskSize" advise="1">
        <values cols="10">
          <value t="str">
            <val>帆宣</val>
          </value>
          <value>
            <val>394.5</val>
          </value>
          <value t="str">
            <val>--</val>
          </value>
          <value>
            <val>394.5</val>
          </value>
          <value>
            <val>35.5</val>
          </value>
          <value>
            <val>9.89</val>
          </value>
          <value>
            <val>44</val>
          </value>
          <value>
            <val>2902</val>
          </value>
          <value>
            <val>453</val>
          </value>
          <value>
            <val>0</val>
          </value>
        </values>
      </ddeItem>
      <ddeItem name="6196.TW-PreClose,InOutRatio,AvgPrice,Capital,Profit,MarketValue" advise="1">
        <values cols="6">
          <value>
            <val>359</val>
          </value>
          <value>
            <val>72.010000000000005</val>
          </value>
          <value>
            <val>389.04</val>
          </value>
          <value>
            <val>22.03</val>
          </value>
          <value>
            <val>3.68</val>
          </value>
          <value>
            <val>862.3</val>
          </value>
        </values>
      </ddeItem>
      <ddeItem name="6197.TW-Name,Bid,Ask,Price,PriceChange,PriceChangeRatio,Volume,TotalVolume,BestBidSize,BestAskSize" advise="1">
        <values cols="10">
          <value t="str">
            <val>佳必琪</val>
          </value>
          <value>
            <val>189</val>
          </value>
          <value>
            <val>189.5</val>
          </value>
          <value>
            <val>189</val>
          </value>
          <value>
            <val>3.5</val>
          </value>
          <value>
            <val>1.89</val>
          </value>
          <value>
            <val>198</val>
          </value>
          <value>
            <val>4559</val>
          </value>
          <value>
            <val>88</val>
          </value>
          <value>
            <val>38</val>
          </value>
        </values>
      </ddeItem>
      <ddeItem name="6197.TW-PreClose,InOutRatio,AvgPrice,Capital,Profit,MarketValue" advise="1">
        <values cols="6">
          <value>
            <val>185.5</val>
          </value>
          <value>
            <val>53.32</val>
          </value>
          <value>
            <val>187.69</val>
          </value>
          <value>
            <val>12.21</val>
          </value>
          <value>
            <val>2.57</val>
          </value>
          <value>
            <val>230.7</val>
          </value>
        </values>
      </ddeItem>
      <ddeItem name="6205.TW-Name,Bid,Ask,Price,PriceChange,PriceChangeRatio,Volume,TotalVolume,BestBidSize,BestAskSize" advise="1">
        <values cols="10">
          <value t="str">
            <val>詮欣</val>
          </value>
          <value>
            <val>81</val>
          </value>
          <value>
            <val>81.099999999999994</val>
          </value>
          <value>
            <val>81</val>
          </value>
          <value>
            <val>6</val>
          </value>
          <value>
            <val>8</val>
          </value>
          <value>
            <val>319</val>
          </value>
          <value>
            <val>11950</val>
          </value>
          <value>
            <val>46</val>
          </value>
          <value>
            <val>8</val>
          </value>
        </values>
      </ddeItem>
      <ddeItem name="6205.TW-PreClose,InOutRatio,AvgPrice,Capital,Profit,MarketValue" advise="1">
        <values cols="6">
          <value>
            <val>75</val>
          </value>
          <value>
            <val>48.2</val>
          </value>
          <value>
            <val>80.8</val>
          </value>
          <value>
            <val>8.2200000000000006</val>
          </value>
          <value>
            <val>0.49</val>
          </value>
          <value>
            <val>66.599999999999994</val>
          </value>
        </values>
      </ddeItem>
      <ddeItem name="6213.TW-Name,Bid,Ask,Price,PriceChange,PriceChangeRatio,Volume,TotalVolume,BestBidSize,BestAskSize" advise="1">
        <values cols="10">
          <value t="str">
            <val>聯茂</val>
          </value>
          <value>
            <val>282</val>
          </value>
          <value>
            <val>282.5</val>
          </value>
          <value>
            <val>282</val>
          </value>
          <value>
            <val>11.5</val>
          </value>
          <value>
            <val>4.25</val>
          </value>
          <value>
            <val>1180</val>
          </value>
          <value>
            <val>55348</val>
          </value>
          <value>
            <val>93</val>
          </value>
          <value>
            <val>101</val>
          </value>
        </values>
      </ddeItem>
      <ddeItem name="6213.TW-PreClose,InOutRatio,AvgPrice,Capital,Profit,MarketValue" advise="1">
        <values cols="6">
          <value>
            <val>270.5</val>
          </value>
          <value>
            <val>50.18</val>
          </value>
          <value>
            <val>279.27999999999997</val>
          </value>
          <value>
            <val>36.35</val>
          </value>
          <value>
            <val>1.18</val>
          </value>
          <value>
            <val>1024.8</val>
          </value>
        </values>
      </ddeItem>
      <ddeItem name="6214.TW-Name,Bid,Ask,Price,PriceChange,PriceChangeRatio,Volume,TotalVolume,BestBidSize,BestAskSize" advise="1">
        <values cols="10">
          <value t="str">
            <val>精誠</val>
          </value>
          <value>
            <val>126.5</val>
          </value>
          <value>
            <val>127</val>
          </value>
          <value>
            <val>126.5</val>
          </value>
          <value>
            <val>0.5</val>
          </value>
          <value>
            <val>0.4</val>
          </value>
          <value>
            <val>174</val>
          </value>
          <value>
            <val>3390</val>
          </value>
          <value>
            <val>21</val>
          </value>
          <value>
            <val>81</val>
          </value>
        </values>
      </ddeItem>
      <ddeItem name="6214.TW-PreClose,InOutRatio,AvgPrice,Capital,Profit,MarketValue" advise="1">
        <values cols="6">
          <value>
            <val>126</val>
          </value>
          <value>
            <val>50.67</val>
          </value>
          <value>
            <val>126.7</val>
          </value>
          <value>
            <val>27.22</val>
          </value>
          <value>
            <val>2.5</val>
          </value>
          <value>
            <val>344.4</val>
          </value>
        </values>
      </ddeItem>
      <ddeItem name="6217.TW-Name,Bid,Ask,Price,PriceChange,PriceChangeRatio,Volume,TotalVolume,BestBidSize,BestAskSize" advise="1">
        <values cols="10">
          <value t="str">
            <val>中探針</val>
          </value>
          <value>
            <val>268</val>
          </value>
          <value t="str">
            <val>--</val>
          </value>
          <value>
            <val>268</val>
          </value>
          <value>
            <val>24</val>
          </value>
          <value>
            <val>9.84</val>
          </value>
          <value>
            <val>9</val>
          </value>
          <value>
            <val>2106</val>
          </value>
          <value>
            <val>413</val>
          </value>
          <value>
            <val>0</val>
          </value>
        </values>
      </ddeItem>
      <ddeItem name="6217.TW-PreClose,InOutRatio,AvgPrice,Capital,Profit,MarketValue" advise="1">
        <values cols="6">
          <value>
            <val>244</val>
          </value>
          <value>
            <val>100</val>
          </value>
          <value>
            <val>263.83999999999997</val>
          </value>
          <value>
            <val>11.72</val>
          </value>
          <value>
            <val>-0.34</val>
          </value>
          <value>
            <val>314.10000000000002</val>
          </value>
        </values>
      </ddeItem>
      <ddeItem name="6224.TW-Name,Bid,Ask,Price,PriceChange,PriceChangeRatio,Volume,TotalVolume,BestBidSize,BestAskSize" advise="1">
        <values cols="10">
          <value t="str">
            <val>聚鼎</val>
          </value>
          <value>
            <val>59.8</val>
          </value>
          <value>
            <val>59.9</val>
          </value>
          <value>
            <val>59.8</val>
          </value>
          <value>
            <val>-1.3</val>
          </value>
          <value>
            <val>-2.13</val>
          </value>
          <value>
            <val>43</val>
          </value>
          <value>
            <val>715</val>
          </value>
          <value>
            <val>1</val>
          </value>
          <value>
            <val>21</val>
          </value>
        </values>
      </ddeItem>
      <ddeItem name="6224.TW-PreClose,InOutRatio,AvgPrice,Capital,Profit,MarketValue" advise="1">
        <values cols="6">
          <value>
            <val>61.1</val>
          </value>
          <value>
            <val>37.44</val>
          </value>
          <value>
            <val>60.23</val>
          </value>
          <value>
            <val>8.56</val>
          </value>
          <value>
            <val>-0.31</val>
          </value>
          <value>
            <val>51.2</val>
          </value>
        </values>
      </ddeItem>
      <ddeItem name="6226.TW-Name,Bid,Ask,Price,PriceChange,PriceChangeRatio,Volume,TotalVolume,BestBidSize,BestAskSize" advise="1">
        <values cols="10">
          <value t="str">
            <val>光鼎</val>
          </value>
          <value>
            <val>15.95</val>
          </value>
          <value>
            <val>16</val>
          </value>
          <value>
            <val>16</val>
          </value>
          <value>
            <val>1.4</val>
          </value>
          <value>
            <val>9.59</val>
          </value>
          <value>
            <val>143</val>
          </value>
          <value>
            <val>11599</val>
          </value>
          <value>
            <val>39</val>
          </value>
          <value>
            <val>115</val>
          </value>
        </values>
      </ddeItem>
      <ddeItem name="6226.TW-PreClose,InOutRatio,AvgPrice,Capital,Profit,MarketValue" advise="1">
        <values cols="6">
          <value>
            <val>14.6</val>
          </value>
          <value>
            <val>61.5</val>
          </value>
          <value>
            <val>15.82</val>
          </value>
          <value>
            <val>11.55</val>
          </value>
          <value>
            <val>-0.1</val>
          </value>
          <value>
            <val>18.5</val>
          </value>
        </values>
      </ddeItem>
      <ddeItem name="6245.TW-Name,Bid,Ask,Price,PriceChange,PriceChangeRatio,Volume,TotalVolume,BestBidSize,BestAskSize" advise="1">
        <values cols="10">
          <value t="str">
            <val>立端</val>
          </value>
          <value>
            <val>83.9</val>
          </value>
          <value>
            <val>84</val>
          </value>
          <value>
            <val>83.9</val>
          </value>
          <value>
            <val>1.1000000000000001</val>
          </value>
          <value>
            <val>1.33</val>
          </value>
          <value>
            <val>41</val>
          </value>
          <value>
            <val>2392</val>
          </value>
          <value>
            <val>1</val>
          </value>
          <value>
            <val>8</val>
          </value>
        </values>
      </ddeItem>
      <ddeItem name="6245.TW-PreClose,InOutRatio,AvgPrice,Capital,Profit,MarketValue" advise="1">
        <values cols="6">
          <value>
            <val>82.8</val>
          </value>
          <value>
            <val>53.25</val>
          </value>
          <value>
            <val>84.2</val>
          </value>
          <value>
            <val>14.66</val>
          </value>
          <value>
            <val>1.5</val>
          </value>
          <value>
            <val>123</val>
          </value>
        </values>
      </ddeItem>
      <ddeItem name="6278.TW-Name,Bid,Ask,Price,PriceChange,PriceChangeRatio,Volume,TotalVolume,BestBidSize,BestAskSize" advise="1">
        <values cols="10">
          <value t="str">
            <val>台表科</val>
          </value>
          <value>
            <val>158.5</val>
          </value>
          <value>
            <val>159</val>
          </value>
          <value>
            <val>158.5</val>
          </value>
          <value>
            <val>1.5</val>
          </value>
          <value>
            <val>0.96</val>
          </value>
          <value>
            <val>1290</val>
          </value>
          <value>
            <val>10843</val>
          </value>
          <value>
            <val>19</val>
          </value>
          <value>
            <val>1</val>
          </value>
        </values>
      </ddeItem>
      <ddeItem name="6278.TW-PreClose,InOutRatio,AvgPrice,Capital,Profit,MarketValue" advise="1">
        <values cols="6">
          <value>
            <val>157</val>
          </value>
          <value>
            <val>62.4</val>
          </value>
          <value>
            <val>164.8</val>
          </value>
          <value>
            <val>29.24</val>
          </value>
          <value>
            <val>2.4900000000000002</val>
          </value>
          <value>
            <val>463.5</val>
          </value>
        </values>
      </ddeItem>
      <ddeItem name="6290.TW-Name,Bid,Ask,Price,PriceChange,PriceChangeRatio,Volume,TotalVolume,BestBidSize,BestAskSize" advise="1">
        <values cols="10">
          <value t="str">
            <val>良維</val>
          </value>
          <value>
            <val>258.5</val>
          </value>
          <value t="str">
            <val>--</val>
          </value>
          <value>
            <val>258.5</val>
          </value>
          <value>
            <val>23.5</val>
          </value>
          <value>
            <val>10</val>
          </value>
          <value>
            <val>11</val>
          </value>
          <value>
            <val>7241</val>
          </value>
          <value>
            <val>13318</val>
          </value>
          <value>
            <val>0</val>
          </value>
        </values>
      </ddeItem>
      <ddeItem name="6290.TW-PreClose,InOutRatio,AvgPrice,Capital,Profit,MarketValue" advise="1">
        <values cols="6">
          <value>
            <val>235</val>
          </value>
          <value>
            <val>76.61</val>
          </value>
          <value>
            <val>253.66</val>
          </value>
          <value>
            <val>16.95</val>
          </value>
          <value>
            <val>2.6</val>
          </value>
          <value>
            <val>438</val>
          </value>
        </values>
      </ddeItem>
      <ddeItem name="6415.TW-Name,Bid,Ask,Price,PriceChange,PriceChangeRatio,Volume,TotalVolume,BestBidSize,BestAskSize" advise="1">
        <values cols="10">
          <value t="str">
            <val>矽力*-KY</val>
          </value>
          <value>
            <val>365.5</val>
          </value>
          <value t="str">
            <val>--</val>
          </value>
          <value>
            <val>365.5</val>
          </value>
          <value>
            <val>33</val>
          </value>
          <value>
            <val>9.92</val>
          </value>
          <value>
            <val>14</val>
          </value>
          <value>
            <val>5678</val>
          </value>
          <value>
            <val>2984</val>
          </value>
          <value>
            <val>0</val>
          </value>
        </values>
      </ddeItem>
      <ddeItem name="6415.TW-PreClose,InOutRatio,AvgPrice,Capital,Profit,MarketValue" advise="1">
        <values cols="6">
          <value>
            <val>332.5</val>
          </value>
          <value>
            <val>94.01</val>
          </value>
          <value>
            <val>364.25</val>
          </value>
          <value>
            <val>9.7200000000000006</val>
          </value>
          <value>
            <val>2.09</val>
          </value>
          <value>
            <val>1420.5</val>
          </value>
        </values>
      </ddeItem>
      <ddeItem name="6425.TW-Name,Bid,Ask,Price,PriceChange,PriceChangeRatio,Volume,TotalVolume,BestBidSize,BestAskSize" advise="1">
        <values cols="10">
          <value t="str">
            <val>易發</val>
          </value>
          <value>
            <val>91</val>
          </value>
          <value>
            <val>91.1</val>
          </value>
          <value>
            <val>91</val>
          </value>
          <value>
            <val>5.0999999999999996</val>
          </value>
          <value>
            <val>5.94</val>
          </value>
          <value>
            <val>247</val>
          </value>
          <value>
            <val>14375</val>
          </value>
          <value>
            <val>58</val>
          </value>
          <value>
            <val>3</val>
          </value>
        </values>
      </ddeItem>
      <ddeItem name="6425.TW-PreClose,InOutRatio,AvgPrice,Capital,Profit,MarketValue" advise="1">
        <values cols="6">
          <value>
            <val>85.9</val>
          </value>
          <value>
            <val>49.14</val>
          </value>
          <value>
            <val>88.8</val>
          </value>
          <value>
            <val>5.09</val>
          </value>
          <value>
            <val>0.97</val>
          </value>
          <value>
            <val>46.3</val>
          </value>
        </values>
      </ddeItem>
      <ddeItem name="6426.TW-Name,Bid,Ask,Price,PriceChange,PriceChangeRatio,Volume,TotalVolume,BestBidSize,BestAskSize" advise="1">
        <values cols="10">
          <value t="str">
            <val>統新</val>
          </value>
          <value>
            <val>249.5</val>
          </value>
          <value t="str">
            <val>--</val>
          </value>
          <value>
            <val>249.5</val>
          </value>
          <value>
            <val>22.5</val>
          </value>
          <value>
            <val>9.91</val>
          </value>
          <value>
            <val>15</val>
          </value>
          <value>
            <val>2045</val>
          </value>
          <value>
            <val>243</val>
          </value>
          <value>
            <val>0</val>
          </value>
        </values>
      </ddeItem>
      <ddeItem name="6426.TW-PreClose,InOutRatio,AvgPrice,Capital,Profit,MarketValue" advise="1">
        <values cols="6">
          <value>
            <val>227</val>
          </value>
          <value>
            <val>95.98</val>
          </value>
          <value>
            <val>249.34</val>
          </value>
          <value>
            <val>3.85</val>
          </value>
          <value>
            <val>0.3</val>
          </value>
          <value>
            <val>96.1</val>
          </value>
        </values>
      </ddeItem>
      <ddeItem name="6432.TW-Name,Bid,Ask,Price,PriceChange,PriceChangeRatio,Volume,TotalVolume,BestBidSize,BestAskSize" advise="1">
        <values cols="10">
          <value t="str">
            <val>今展科</val>
          </value>
          <value>
            <val>44.75</val>
          </value>
          <value t="str">
            <val>--</val>
          </value>
          <value>
            <val>44.75</val>
          </value>
          <value>
            <val>4.05</val>
          </value>
          <value>
            <val>9.9499999999999993</val>
          </value>
          <value>
            <val>13</val>
          </value>
          <value>
            <val>1525</val>
          </value>
          <value>
            <val>351</val>
          </value>
          <value>
            <val>0</val>
          </value>
        </values>
      </ddeItem>
      <ddeItem name="6432.TW-PreClose,InOutRatio,AvgPrice,Capital,Profit,MarketValue" advise="1">
        <values cols="6">
          <value>
            <val>40.700000000000003</val>
          </value>
          <value>
            <val>87.14</val>
          </value>
          <value>
            <val>44.47</val>
          </value>
          <value>
            <val>3.44</val>
          </value>
          <value>
            <val>0.37</val>
          </value>
          <value>
            <val>14.9</val>
          </value>
        </values>
      </ddeItem>
      <ddeItem name="6435.TW-Name,Bid,Ask,Price,PriceChange,PriceChangeRatio,Volume,TotalVolume,BestBidSize,BestAskSize" advise="1">
        <values cols="10">
          <value t="str">
            <val>大中</val>
          </value>
          <value>
            <val>175</val>
          </value>
          <value>
            <val>175.5</val>
          </value>
          <value>
            <val>175.5</val>
          </value>
          <value>
            <val>-3</val>
          </value>
          <value>
            <val>-1.68</val>
          </value>
          <value>
            <val>82</val>
          </value>
          <value>
            <val>1370</val>
          </value>
          <value>
            <val>35</val>
          </value>
          <value>
            <val>1</val>
          </value>
        </values>
      </ddeItem>
      <ddeItem name="6435.TW-PreClose,InOutRatio,AvgPrice,Capital,Profit,MarketValue" advise="1">
        <values cols="6">
          <value>
            <val>178.5</val>
          </value>
          <value>
            <val>44.95</val>
          </value>
          <value>
            <val>178.31</val>
          </value>
          <value>
            <val>3.75</val>
          </value>
          <value>
            <val>3.39</val>
          </value>
          <value>
            <val>65.7</val>
          </value>
        </values>
      </ddeItem>
      <ddeItem name="6456.TW-Name,Bid,Ask,Price,PriceChange,PriceChangeRatio,Volume,TotalVolume,BestBidSize,BestAskSize" advise="1">
        <values cols="10">
          <value t="str">
            <val>GIS-KY</val>
          </value>
          <value>
            <val>83.7</val>
          </value>
          <value>
            <val>83.8</val>
          </value>
          <value>
            <val>83.8</val>
          </value>
          <value>
            <val>6.2</val>
          </value>
          <value>
            <val>7.99</val>
          </value>
          <value>
            <val>1457</val>
          </value>
          <value>
            <val>49490</val>
          </value>
          <value>
            <val>20</val>
          </value>
          <value>
            <val>34</val>
          </value>
        </values>
      </ddeItem>
      <ddeItem name="6456.TW-PreClose,InOutRatio,AvgPrice,Capital,Profit,MarketValue" advise="1">
        <values cols="6">
          <value>
            <val>77.599999999999994</val>
          </value>
          <value>
            <val>49.93</val>
          </value>
          <value>
            <val>80.7</val>
          </value>
          <value>
            <val>33.79</val>
          </value>
          <value>
            <val>-0.41</val>
          </value>
          <value>
            <val>283.2</val>
          </value>
        </values>
      </ddeItem>
      <ddeItem name="6462.TW-Name,Bid,Ask,Price,PriceChange,PriceChangeRatio,Volume,TotalVolume,BestBidSize,BestAskSize" advise="1">
        <values cols="10">
          <value t="str">
            <val>神盾</val>
          </value>
          <value>
            <val>119</val>
          </value>
          <value>
            <val>119.5</val>
          </value>
          <value>
            <val>119</val>
          </value>
          <value>
            <val>-3.5</val>
          </value>
          <value>
            <val>-2.86</val>
          </value>
          <value>
            <val>207</val>
          </value>
          <value>
            <val>3825</val>
          </value>
          <value>
            <val>9</val>
          </value>
          <value>
            <val>11</val>
          </value>
        </values>
      </ddeItem>
      <ddeItem name="6462.TW-PreClose,InOutRatio,AvgPrice,Capital,Profit,MarketValue" advise="1">
        <values cols="6">
          <value>
            <val>122.5</val>
          </value>
          <value>
            <val>36.659999999999997</val>
          </value>
          <value>
            <val>123.76</val>
          </value>
          <value>
            <val>9.1300000000000008</val>
          </value>
          <value>
            <val>-5.01</val>
          </value>
          <value>
            <val>108.6</val>
          </value>
        </values>
      </ddeItem>
      <ddeItem name="6465.TW-Name,Bid,Ask,Price,PriceChange,PriceChangeRatio,Volume,TotalVolume,BestBidSize,BestAskSize" advise="1">
        <values cols="10">
          <value t="str">
            <val>威潤</val>
          </value>
          <value>
            <val>53.9</val>
          </value>
          <value t="str">
            <val>--</val>
          </value>
          <value>
            <val>53.9</val>
          </value>
          <value>
            <val>4.8499999999999996</val>
          </value>
          <value>
            <val>9.89</val>
          </value>
          <value>
            <val>5</val>
          </value>
          <value>
            <val>1097</val>
          </value>
          <value>
            <val>93</val>
          </value>
          <value>
            <val>0</val>
          </value>
        </values>
      </ddeItem>
      <ddeItem name="6465.TW-PreClose,InOutRatio,AvgPrice,Capital,Profit,MarketValue" advise="1">
        <values cols="6">
          <value>
            <val>49.05</val>
          </value>
          <value>
            <val>84.58</val>
          </value>
          <value>
            <val>53.54</val>
          </value>
          <value>
            <val>4.71</val>
          </value>
          <value>
            <val>1.61</val>
          </value>
          <value>
            <val>25.4</val>
          </value>
        </values>
      </ddeItem>
      <ddeItem name="6515.TW-Name,Bid,Ask,Price,PriceChange,PriceChangeRatio,Volume,TotalVolume,BestBidSize,BestAskSize" advise="1">
        <values cols="10">
          <value t="str">
            <val>穎崴</val>
          </value>
          <value>
            <val>10795</val>
          </value>
          <value>
            <val>10800</val>
          </value>
          <value>
            <val>10795</val>
          </value>
          <value>
            <val>490</val>
          </value>
          <value>
            <val>4.75</val>
          </value>
          <value>
            <val>42</val>
          </value>
          <value>
            <val>381</val>
          </value>
          <value>
            <val>1</val>
          </value>
          <value>
            <val>5</val>
          </value>
        </values>
      </ddeItem>
      <ddeItem name="6515.TW-PreClose,InOutRatio,AvgPrice,Capital,Profit,MarketValue" advise="1">
        <values cols="6">
          <value>
            <val>10305</val>
          </value>
          <value>
            <val>56.68</val>
          </value>
          <value>
            <val>10618.07</val>
          </value>
          <value>
            <val>3.6</val>
          </value>
          <value>
            <val>13.56</val>
          </value>
          <value>
            <val>3890.6</val>
          </value>
        </values>
      </ddeItem>
      <ddeItem name="6531.TW-Name,Bid,Ask,Price,PriceChange,PriceChangeRatio,Volume,TotalVolume,BestBidSize,BestAskSize" advise="1">
        <values cols="10">
          <value t="str">
            <val>愛普*</val>
          </value>
          <value>
            <val>682</val>
          </value>
          <value>
            <val>683</val>
          </value>
          <value>
            <val>682</val>
          </value>
          <value>
            <val>38</val>
          </value>
          <value>
            <val>5.9</val>
          </value>
          <value>
            <val>324</val>
          </value>
          <value>
            <val>12121</val>
          </value>
          <value>
            <val>27</val>
          </value>
          <value>
            <val>5</val>
          </value>
        </values>
      </ddeItem>
      <ddeItem name="6531.TW-PreClose,InOutRatio,AvgPrice,Capital,Profit,MarketValue" advise="1">
        <values cols="6">
          <value>
            <val>644</val>
          </value>
          <value>
            <val>57.86</val>
          </value>
          <value>
            <val>684.3</val>
          </value>
          <value>
            <val>8.14</val>
          </value>
          <value>
            <val>4.71</val>
          </value>
          <value>
            <val>1109.7</val>
          </value>
        </values>
      </ddeItem>
      <ddeItem name="6532.TW-Name,Bid,Ask,Price,PriceChange,PriceChangeRatio,Volume,TotalVolume,BestBidSize,BestAskSize" advise="1">
        <values cols="10">
          <value t="str">
            <val>瑞耘</val>
          </value>
          <value>
            <val>84.5</val>
          </value>
          <value>
            <val>84.8</val>
          </value>
          <value>
            <val>84.8</val>
          </value>
          <value>
            <val>1.3</val>
          </value>
          <value>
            <val>1.56</val>
          </value>
          <value>
            <val>83</val>
          </value>
          <value>
            <val>2017</val>
          </value>
          <value>
            <val>1</val>
          </value>
          <value>
            <val>12</val>
          </value>
        </values>
      </ddeItem>
      <ddeItem name="6532.TW-PreClose,InOutRatio,AvgPrice,Capital,Profit,MarketValue" advise="1">
        <values cols="6">
          <value>
            <val>83.5</val>
          </value>
          <value>
            <val>45.03</val>
          </value>
          <value>
            <val>84.47</val>
          </value>
          <value>
            <val>3.74</val>
          </value>
          <value>
            <val>5.0599999999999996</val>
          </value>
          <value>
            <val>31.8</val>
          </value>
        </values>
      </ddeItem>
      <ddeItem name="6533.TW-Name,Bid,Ask,Price,PriceChange,PriceChangeRatio,Volume,TotalVolume,BestBidSize,BestAskSize" advise="1">
        <values cols="10">
          <value t="str">
            <val>晶心科</val>
          </value>
          <value>
            <val>235</val>
          </value>
          <value>
            <val>235.5</val>
          </value>
          <value>
            <val>235</val>
          </value>
          <value>
            <val>0</val>
          </value>
          <value>
            <val>0</val>
          </value>
          <value>
            <val>92</val>
          </value>
          <value>
            <val>2255</val>
          </value>
          <value>
            <val>29</val>
          </value>
          <value>
            <val>6</val>
          </value>
        </values>
      </ddeItem>
      <ddeItem name="6533.TW-PreClose,InOutRatio,AvgPrice,Capital,Profit,MarketValue" advise="1">
        <values cols="6">
          <value>
            <val>235</val>
          </value>
          <value>
            <val>47.05</val>
          </value>
          <value>
            <val>236.7</val>
          </value>
          <value>
            <val>5.07</val>
          </value>
          <value>
            <val>-0.52</val>
          </value>
          <value>
            <val>119</val>
          </value>
        </values>
      </ddeItem>
      <ddeItem name="6548.TW-Name,Bid,Ask,Price,PriceChange,PriceChangeRatio,Volume,TotalVolume,BestBidSize,BestAskSize" advise="1">
        <values cols="10">
          <value t="str">
            <val>長科*</val>
          </value>
          <value>
            <val>55.6</val>
          </value>
          <value>
            <val>55.7</val>
          </value>
          <value>
            <val>55.7</val>
          </value>
          <value>
            <val>1</val>
          </value>
          <value>
            <val>1.83</val>
          </value>
          <value>
            <val>1217</val>
          </value>
          <value>
            <val>31846</val>
          </value>
          <value>
            <val>4</val>
          </value>
          <value>
            <val>62</val>
          </value>
        </values>
      </ddeItem>
      <ddeItem name="6548.TW-PreClose,InOutRatio,AvgPrice,Capital,Profit,MarketValue" advise="1">
        <values cols="6">
          <value>
            <val>54.7</val>
          </value>
          <value>
            <val>44.68</val>
          </value>
          <value>
            <val>56.37</val>
          </value>
          <value>
            <val>3.8</val>
          </value>
          <value>
            <val>0.51</val>
          </value>
          <value>
            <val>529.4</val>
          </value>
        </values>
      </ddeItem>
      <ddeItem name="6603.TW-Name,Bid,Ask,Price,PriceChange,PriceChangeRatio,Volume,TotalVolume,BestBidSize,BestAskSize" advise="1">
        <values cols="10">
          <value t="str">
            <val>富強鑫</val>
          </value>
          <value>
            <val>25.2</val>
          </value>
          <value>
            <val>25.3</val>
          </value>
          <value>
            <val>25.2</val>
          </value>
          <value>
            <val>-0.25</val>
          </value>
          <value>
            <val>-0.98</val>
          </value>
          <value>
            <val>265</val>
          </value>
          <value>
            <val>7555</val>
          </value>
          <value>
            <val>3</val>
          </value>
          <value>
            <val>7</val>
          </value>
        </values>
      </ddeItem>
      <ddeItem name="6603.TW-PreClose,InOutRatio,AvgPrice,Capital,Profit,MarketValue" advise="1">
        <values cols="6">
          <value>
            <val>25.45</val>
          </value>
          <value>
            <val>35.35</val>
          </value>
          <value>
            <val>25.68</val>
          </value>
          <value>
            <val>16.739999999999998</val>
          </value>
          <value>
            <val>0.34</val>
          </value>
          <value>
            <val>42.2</val>
          </value>
        </values>
      </ddeItem>
      <ddeItem name="6643.TW-Name,Bid,Ask,Price,PriceChange,PriceChangeRatio,Volume,TotalVolume,BestBidSize,BestAskSize" advise="1">
        <values cols="10">
          <value t="str">
            <val>M31</val>
          </value>
          <value>
            <val>556</val>
          </value>
          <value t="str">
            <val>--</val>
          </value>
          <value>
            <val>556</val>
          </value>
          <value>
            <val>50</val>
          </value>
          <value>
            <val>9.8800000000000008</val>
          </value>
          <value>
            <val>8</val>
          </value>
          <value>
            <val>3117</val>
          </value>
          <value>
            <val>920</val>
          </value>
          <value>
            <val>0</val>
          </value>
        </values>
      </ddeItem>
      <ddeItem name="6643.TW-PreClose,InOutRatio,AvgPrice,Capital,Profit,MarketValue" advise="1">
        <values cols="6">
          <value>
            <val>506</val>
          </value>
          <value>
            <val>63.81</val>
          </value>
          <value>
            <val>534.03</val>
          </value>
          <value>
            <val>4.18</val>
          </value>
          <value>
            <val>2.38</val>
          </value>
          <value>
            <val>232.4</val>
          </value>
        </values>
      </ddeItem>
      <ddeItem name="6672.TW-Name,Bid,Ask,Price,PriceChange,PriceChangeRatio,Volume,TotalVolume,BestBidSize,BestAskSize" advise="1">
        <values cols="10">
          <value t="str">
            <val>騰輝電子-KY</val>
          </value>
          <value>
            <val>187</val>
          </value>
          <value>
            <val>187.5</val>
          </value>
          <value>
            <val>187</val>
          </value>
          <value>
            <val>11</val>
          </value>
          <value>
            <val>6.25</val>
          </value>
          <value>
            <val>361</val>
          </value>
          <value>
            <val>14263</val>
          </value>
          <value>
            <val>13</val>
          </value>
          <value>
            <val>33</val>
          </value>
        </values>
      </ddeItem>
      <ddeItem name="6672.TW-PreClose,InOutRatio,AvgPrice,Capital,Profit,MarketValue" advise="1">
        <values cols="6">
          <value>
            <val>176</val>
          </value>
          <value>
            <val>44.35</val>
          </value>
          <value>
            <val>186.22</val>
          </value>
          <value>
            <val>7.14</val>
          </value>
          <value>
            <val>1.38</val>
          </value>
          <value>
            <val>133.6</val>
          </value>
        </values>
      </ddeItem>
      <ddeItem name="6706.TW-Name,Bid,Ask,Price,PriceChange,PriceChangeRatio,Volume,TotalVolume,BestBidSize,BestAskSize" advise="1">
        <values cols="10">
          <value t="str">
            <val>惠特</val>
          </value>
          <value>
            <val>148.5</val>
          </value>
          <value>
            <val>149</val>
          </value>
          <value>
            <val>149</val>
          </value>
          <value>
            <val>-2.5</val>
          </value>
          <value>
            <val>-1.65</val>
          </value>
          <value>
            <val>362</val>
          </value>
          <value>
            <val>8909</val>
          </value>
          <value>
            <val>91</val>
          </value>
          <value>
            <val>29</val>
          </value>
        </values>
      </ddeItem>
      <ddeItem name="6706.TW-PreClose,InOutRatio,AvgPrice,Capital,Profit,MarketValue" advise="1">
        <values cols="6">
          <value>
            <val>151.5</val>
          </value>
          <value>
            <val>44.15</val>
          </value>
          <value>
            <val>150.27000000000001</val>
          </value>
          <value>
            <val>7.85</val>
          </value>
          <value>
            <val>-0.23</val>
          </value>
          <value>
            <val>117</val>
          </value>
        </values>
      </ddeItem>
      <ddeItem name="6725.TW-Name,Bid,Ask,Price,PriceChange,PriceChangeRatio,Volume,TotalVolume,BestBidSize,BestAskSize" advise="1">
        <values cols="10">
          <value t="str">
            <val>矽科宏晟</val>
          </value>
          <value>
            <val>409</val>
          </value>
          <value>
            <val>410</val>
          </value>
          <value>
            <val>409</val>
          </value>
          <value>
            <val>18.5</val>
          </value>
          <value>
            <val>4.74</val>
          </value>
          <value>
            <val>38</val>
          </value>
          <value>
            <val>1602</val>
          </value>
          <value>
            <val>4</val>
          </value>
          <value>
            <val>2</val>
          </value>
        </values>
      </ddeItem>
      <ddeItem name="6725.TW-PreClose,InOutRatio,AvgPrice,Capital,Profit,MarketValue" advise="1">
        <values cols="6">
          <value>
            <val>390.5</val>
          </value>
          <value>
            <val>45.45</val>
          </value>
          <value>
            <val>411.4</val>
          </value>
          <value>
            <val>3.71</val>
          </value>
          <value>
            <val>4.91</val>
          </value>
          <value>
            <val>151.9</val>
          </value>
        </values>
      </ddeItem>
      <ddeItem name="6735.TW-Name,Bid,Ask,Price,PriceChange,PriceChangeRatio,Volume,TotalVolume,BestBidSize,BestAskSize" advise="1">
        <values cols="10">
          <value t="str">
            <val>美達科技</val>
          </value>
          <value>
            <val>83.4</val>
          </value>
          <value t="str">
            <val>--</val>
          </value>
          <value>
            <val>83.4</val>
          </value>
          <value>
            <val>7.5</val>
          </value>
          <value>
            <val>9.8800000000000008</val>
          </value>
          <value>
            <val>1</val>
          </value>
          <value>
            <val>186</val>
          </value>
          <value>
            <val>7404</val>
          </value>
          <value>
            <val>0</val>
          </value>
        </values>
      </ddeItem>
      <ddeItem name="6735.TW-PreClose,InOutRatio,AvgPrice,Capital,Profit,MarketValue" advise="1">
        <values cols="6">
          <value>
            <val>75.900000000000006</val>
          </value>
          <value>
            <val>100</val>
          </value>
          <value>
            <val>83.4</val>
          </value>
          <value>
            <val>4.62</val>
          </value>
          <value>
            <val>0.86</val>
          </value>
          <value>
            <val>38.5</val>
          </value>
        </values>
      </ddeItem>
      <ddeItem name="6788.TW-Name,Bid,Ask,Price,PriceChange,PriceChangeRatio,Volume,TotalVolume,BestBidSize,BestAskSize" advise="1">
        <values cols="10">
          <value t="str">
            <val>華景電</val>
          </value>
          <value>
            <val>474</val>
          </value>
          <value t="str">
            <val>--</val>
          </value>
          <value>
            <val>474</val>
          </value>
          <value>
            <val>43</val>
          </value>
          <value>
            <val>9.98</val>
          </value>
          <value>
            <val>4</val>
          </value>
          <value>
            <val>1661</val>
          </value>
          <value>
            <val>182</val>
          </value>
          <value>
            <val>0</val>
          </value>
        </values>
      </ddeItem>
      <ddeItem name="6788.TW-PreClose,InOutRatio,AvgPrice,Capital,Profit,MarketValue" advise="1">
        <values cols="6">
          <value>
            <val>431</val>
          </value>
          <value>
            <val>91.95</val>
          </value>
          <value>
            <val>473.45</val>
          </value>
          <value>
            <val>3.87</val>
          </value>
          <value>
            <val>5.27</val>
          </value>
          <value>
            <val>183.6</val>
          </value>
        </values>
      </ddeItem>
      <ddeItem name="6821.TW-Name,Bid,Ask,Price,PriceChange,PriceChangeRatio,Volume,TotalVolume,BestBidSize,BestAskSize" advise="1">
        <values cols="10">
          <value t="str">
            <val>聯寶</val>
          </value>
          <value>
            <val>68.900000000000006</val>
          </value>
          <value>
            <val>69</val>
          </value>
          <value>
            <val>68.900000000000006</val>
          </value>
          <value>
            <val>1.4</val>
          </value>
          <value>
            <val>2.0699999999999998</val>
          </value>
          <value>
            <val>103</val>
          </value>
          <value>
            <val>4412</val>
          </value>
          <value>
            <val>2</val>
          </value>
          <value>
            <val>7</val>
          </value>
        </values>
      </ddeItem>
      <ddeItem name="6821.TW-PreClose,InOutRatio,AvgPrice,Capital,Profit,MarketValue" advise="1">
        <values cols="6">
          <value>
            <val>67.5</val>
          </value>
          <value>
            <val>50.55</val>
          </value>
          <value>
            <val>71.959999999999994</val>
          </value>
          <value>
            <val>3.16</val>
          </value>
          <value>
            <val>0.17</val>
          </value>
          <value>
            <val>21.8</val>
          </value>
        </values>
      </ddeItem>
      <ddeItem name="6823.TW-Name,Bid,Ask,Price,PriceChange,PriceChangeRatio,Volume,TotalVolume,BestBidSize,BestAskSize" advise="1">
        <values cols="10">
          <value t="str">
            <val>濾能</val>
          </value>
          <value>
            <val>83.6</val>
          </value>
          <value>
            <val>83.7</val>
          </value>
          <value>
            <val>83.7</val>
          </value>
          <value>
            <val>6.6</val>
          </value>
          <value>
            <val>8.56</val>
          </value>
          <value>
            <val>23</val>
          </value>
          <value>
            <val>1879</val>
          </value>
          <value>
            <val>2</val>
          </value>
          <value>
            <val>18</val>
          </value>
        </values>
      </ddeItem>
      <ddeItem name="6823.TW-PreClose,InOutRatio,AvgPrice,Capital,Profit,MarketValue" advise="1">
        <values cols="6">
          <value>
            <val>77.099999999999994</val>
          </value>
          <value>
            <val>63.75</val>
          </value>
          <value>
            <val>82.18</val>
          </value>
          <value>
            <val>3.05</val>
          </value>
          <value>
            <val>-4.6100000000000003</val>
          </value>
          <value>
            <val>25.6</val>
          </value>
        </values>
      </ddeItem>
      <ddeItem name="6829.TW-Name,Bid,Ask,Price,PriceChange,PriceChangeRatio,Volume,TotalVolume,BestBidSize,BestAskSize" advise="1">
        <values cols="10">
          <value t="str">
            <val>千附精密</val>
          </value>
          <value>
            <val>216.5</val>
          </value>
          <value t="str">
            <val>--</val>
          </value>
          <value>
            <val>216.5</val>
          </value>
          <value>
            <val>19.5</val>
          </value>
          <value>
            <val>9.9</val>
          </value>
          <value>
            <val>1</val>
          </value>
          <value>
            <val>743</val>
          </value>
          <value>
            <val>458</val>
          </value>
          <value>
            <val>0</val>
          </value>
        </values>
      </ddeItem>
      <ddeItem name="6829.TW-PreClose,InOutRatio,AvgPrice,Capital,Profit,MarketValue" advise="1">
        <values cols="6">
          <value>
            <val>197</val>
          </value>
          <value>
            <val>79.27</val>
          </value>
          <value>
            <val>215.42</val>
          </value>
          <value>
            <val>5.92</val>
          </value>
          <value>
            <val>1.31</val>
          </value>
          <value>
            <val>128.1</val>
          </value>
        </values>
      </ddeItem>
      <ddeItem name="6831.TW-Name,Bid,Ask,Price,PriceChange,PriceChangeRatio,Volume,TotalVolume,BestBidSize,BestAskSize" advise="1">
        <values cols="10">
          <value t="str">
            <val>邁科</val>
          </value>
          <value>
            <val>494</val>
          </value>
          <value>
            <val>494.5</val>
          </value>
          <value>
            <val>494</val>
          </value>
          <value>
            <val>19</val>
          </value>
          <value>
            <val>4</val>
          </value>
          <value>
            <val>32</val>
          </value>
          <value>
            <val>1839</val>
          </value>
          <value>
            <val>11</val>
          </value>
          <value>
            <val>2</val>
          </value>
        </values>
      </ddeItem>
      <ddeItem name="6831.TW-PreClose,InOutRatio,AvgPrice,Capital,Profit,MarketValue" advise="1">
        <values cols="6">
          <value>
            <val>475</val>
          </value>
          <value>
            <val>46.33</val>
          </value>
          <value>
            <val>503.23</val>
          </value>
          <value>
            <val>6.75</val>
          </value>
          <value>
            <val>1.85</val>
          </value>
          <value>
            <val>333.4</val>
          </value>
        </values>
      </ddeItem>
      <ddeItem name="6861.TW-Name,Bid,Ask,Price,PriceChange,PriceChangeRatio,Volume,TotalVolume,BestBidSize,BestAskSize" advise="1">
        <values cols="10">
          <value t="str">
            <val>睿生光電</val>
          </value>
          <value>
            <val>177.5</val>
          </value>
          <value t="str">
            <val>--</val>
          </value>
          <value>
            <val>177.5</val>
          </value>
          <value>
            <val>16</val>
          </value>
          <value>
            <val>9.91</val>
          </value>
          <value>
            <val>6</val>
          </value>
          <value>
            <val>4531</val>
          </value>
          <value>
            <val>1067</val>
          </value>
          <value>
            <val>0</val>
          </value>
        </values>
      </ddeItem>
      <ddeItem name="6861.TW-PreClose,InOutRatio,AvgPrice,Capital,Profit,MarketValue" advise="1">
        <values cols="6">
          <value>
            <val>161.5</val>
          </value>
          <value>
            <val>62.77</val>
          </value>
          <value>
            <val>168.78</val>
          </value>
          <value>
            <val>4.16</val>
          </value>
          <value>
            <val>1.32</val>
          </value>
          <value>
            <val>73.8</val>
          </value>
        </values>
      </ddeItem>
      <ddeItem name="6877.TW-Name,Bid,Ask,Price,PriceChange,PriceChangeRatio,Volume,TotalVolume,BestBidSize,BestAskSize" advise="1">
        <values cols="10">
          <value t="str">
            <val>鏵友益</val>
          </value>
          <value>
            <val>164.5</val>
          </value>
          <value>
            <val>165</val>
          </value>
          <value>
            <val>165</val>
          </value>
          <value>
            <val>7.5</val>
          </value>
          <value>
            <val>4.76</val>
          </value>
          <value>
            <val>71</val>
          </value>
          <value>
            <val>2457</val>
          </value>
          <value>
            <val>22</val>
          </value>
          <value>
            <val>10</val>
          </value>
        </values>
      </ddeItem>
      <ddeItem name="6877.TW-PreClose,InOutRatio,AvgPrice,Capital,Profit,MarketValue" advise="1">
        <values cols="6">
          <value>
            <val>157.5</val>
          </value>
          <value>
            <val>45.14</val>
          </value>
          <value>
            <val>166.89</val>
          </value>
          <value>
            <val>4.7</val>
          </value>
          <value>
            <val>0.35</val>
          </value>
          <value>
            <val>77.5</val>
          </value>
        </values>
      </ddeItem>
      <ddeItem name="6902.TW-Name,Bid,Ask,Price,PriceChange,PriceChangeRatio,Volume,TotalVolume,BestBidSize,BestAskSize" advise="1">
        <values cols="10">
          <value t="str">
            <val>GOGOLOOK</val>
          </value>
          <value>
            <val>100.5</val>
          </value>
          <value>
            <val>101</val>
          </value>
          <value>
            <val>101</val>
          </value>
          <value>
            <val>1.9</val>
          </value>
          <value>
            <val>1.92</val>
          </value>
          <value>
            <val>13</val>
          </value>
          <value>
            <val>768</val>
          </value>
          <value>
            <val>2</val>
          </value>
          <value>
            <val>3</val>
          </value>
        </values>
      </ddeItem>
      <ddeItem name="6902.TW-PreClose,InOutRatio,AvgPrice,Capital,Profit,MarketValue" advise="1">
        <values cols="6">
          <value>
            <val>99.1</val>
          </value>
          <value>
            <val>52.98</val>
          </value>
          <value>
            <val>101.52</val>
          </value>
          <value>
            <val>3.54</val>
          </value>
          <value>
            <val>1.35</val>
          </value>
          <value>
            <val>35.700000000000003</val>
          </value>
        </values>
      </ddeItem>
      <ddeItem name="6909.TW-Name,Bid,Ask,Price,PriceChange,PriceChangeRatio,Volume,TotalVolume,BestBidSize,BestAskSize" advise="1">
        <values cols="10">
          <value t="str">
            <val>創控</val>
          </value>
          <value>
            <val>66.8</val>
          </value>
          <value>
            <val>66.900000000000006</val>
          </value>
          <value>
            <val>66.8</val>
          </value>
          <value>
            <val>1.9</val>
          </value>
          <value>
            <val>2.93</val>
          </value>
          <value>
            <val>421</val>
          </value>
          <value>
            <val>10571</val>
          </value>
          <value>
            <val>26</val>
          </value>
          <value>
            <val>17</val>
          </value>
        </values>
      </ddeItem>
      <ddeItem name="6909.TW-PreClose,InOutRatio,AvgPrice,Capital,Profit,MarketValue" advise="1">
        <values cols="6">
          <value>
            <val>64.900000000000006</val>
          </value>
          <value>
            <val>44.98</val>
          </value>
          <value>
            <val>66.77</val>
          </value>
          <value>
            <val>6.72</val>
          </value>
          <value>
            <val>0.96</val>
          </value>
          <value>
            <val>44.9</val>
          </value>
        </values>
      </ddeItem>
      <ddeItem name="6933.TW-Name,Bid,Ask,Price,PriceChange,PriceChangeRatio,Volume,TotalVolume,BestBidSize,BestAskSize" advise="1">
        <values cols="10">
          <value t="str">
            <val>AMAX-KY</val>
          </value>
          <value>
            <val>194.5</val>
          </value>
          <value>
            <val>195</val>
          </value>
          <value>
            <val>194.5</val>
          </value>
          <value>
            <val>-1.5</val>
          </value>
          <value>
            <val>-0.77</val>
          </value>
          <value>
            <val>46</val>
          </value>
          <value>
            <val>1357</val>
          </value>
          <value>
            <val>1</val>
          </value>
          <value>
            <val>1</val>
          </value>
        </values>
      </ddeItem>
      <ddeItem name="6933.TW-PreClose,InOutRatio,AvgPrice,Capital,Profit,MarketValue" advise="1">
        <values cols="6">
          <value>
            <val>196</val>
          </value>
          <value>
            <val>39.11</val>
          </value>
          <value>
            <val>198.68</val>
          </value>
          <value>
            <val>4.24</val>
          </value>
          <value>
            <val>1.36</val>
          </value>
          <value>
            <val>82.4</val>
          </value>
        </values>
      </ddeItem>
      <ddeItem name="6994.TW-Name,Bid,Ask,Price,PriceChange,PriceChangeRatio,Volume,TotalVolume,BestBidSize,BestAskSize" advise="1">
        <values cols="10">
          <value t="str">
            <val>富威電力</val>
          </value>
          <value>
            <val>73.599999999999994</val>
          </value>
          <value>
            <val>74</val>
          </value>
          <value>
            <val>73.599999999999994</val>
          </value>
          <value>
            <val>0.2</val>
          </value>
          <value>
            <val>0.27</val>
          </value>
          <value>
            <val>104</val>
          </value>
          <value>
            <val>1178</val>
          </value>
          <value>
            <val>2</val>
          </value>
          <value>
            <val>1</val>
          </value>
        </values>
      </ddeItem>
      <ddeItem name="6994.TW-PreClose,InOutRatio,AvgPrice,Capital,Profit,MarketValue" advise="1">
        <values cols="6">
          <value>
            <val>73.400000000000006</val>
          </value>
          <value>
            <val>43.94</val>
          </value>
          <value>
            <val>75.53</val>
          </value>
          <value>
            <val>7.42</val>
          </value>
          <value>
            <val>5.22</val>
          </value>
          <value>
            <val>54.3</val>
          </value>
        </values>
      </ddeItem>
      <ddeItem name="7402.TW-Name,Bid,Ask,Price,PriceChange,PriceChangeRatio,Volume,TotalVolume,BestBidSize,BestAskSize" advise="1">
        <values cols="10">
          <value t="str">
            <val>邑錡</val>
          </value>
          <value>
            <val>133</val>
          </value>
          <value>
            <val>133.5</val>
          </value>
          <value>
            <val>133.5</val>
          </value>
          <value>
            <val>8</val>
          </value>
          <value>
            <val>6.37</val>
          </value>
          <value>
            <val>29</val>
          </value>
          <value>
            <val>1910</val>
          </value>
          <value>
            <val>22</val>
          </value>
          <value>
            <val>8</val>
          </value>
        </values>
      </ddeItem>
      <ddeItem name="7402.TW-PreClose,InOutRatio,AvgPrice,Capital,Profit,MarketValue" advise="1">
        <values cols="6">
          <value>
            <val>125.5</val>
          </value>
          <value>
            <val>57.19</val>
          </value>
          <value>
            <val>133.41</val>
          </value>
          <value>
            <val>3.53</val>
          </value>
          <value>
            <val>0.05</val>
          </value>
          <value>
            <val>47.1</val>
          </value>
        </values>
      </ddeItem>
      <ddeItem name="7734.TW-Name,Bid,Ask,Price,PriceChange,PriceChangeRatio,Volume,TotalVolume,BestBidSize,BestAskSize" advise="1">
        <values cols="10">
          <value t="str">
            <val>印能科技</val>
          </value>
          <value>
            <val>2570</val>
          </value>
          <value>
            <val>2615</val>
          </value>
          <value>
            <val>2605</val>
          </value>
          <value>
            <val>100</val>
          </value>
          <value>
            <val>3.99</val>
          </value>
          <value>
            <val>18</val>
          </value>
          <value>
            <val>571</val>
          </value>
          <value>
            <val>1</val>
          </value>
          <value>
            <val>1</val>
          </value>
        </values>
      </ddeItem>
      <ddeItem name="7734.TW-PreClose,InOutRatio,AvgPrice,Capital,Profit,MarketValue" advise="1">
        <values cols="6">
          <value>
            <val>2505</val>
          </value>
          <value>
            <val>41.54</val>
          </value>
          <value>
            <val>2567.75</val>
          </value>
          <value>
            <val>2.8</val>
          </value>
          <value>
            <val>7.03</val>
          </value>
          <value>
            <val>729.4</val>
          </value>
        </values>
      </ddeItem>
      <ddeItem name="7750.TW-Name,Bid,Ask,Price,PriceChange,PriceChangeRatio,Volume,TotalVolume,BestBidSize,BestAskSize" advise="1">
        <values cols="10">
          <value t="str">
            <val>新代</val>
          </value>
          <value>
            <val>1915</val>
          </value>
          <value>
            <val>1920</val>
          </value>
          <value>
            <val>1915</val>
          </value>
          <value>
            <val>105</val>
          </value>
          <value>
            <val>5.8</val>
          </value>
          <value>
            <val>24</val>
          </value>
          <value>
            <val>633</val>
          </value>
          <value>
            <val>6</val>
          </value>
          <value>
            <val>1</val>
          </value>
        </values>
      </ddeItem>
      <ddeItem name="7750.TW-PreClose,InOutRatio,AvgPrice,Capital,Profit,MarketValue" advise="1">
        <values cols="6">
          <value>
            <val>1810</val>
          </value>
          <value>
            <val>53.41</val>
          </value>
          <value>
            <val>1872.42</val>
          </value>
          <value>
            <val>7.18</val>
          </value>
          <value>
            <val>12.89</val>
          </value>
          <value>
            <val>1375.8</val>
          </value>
        </values>
      </ddeItem>
      <ddeItem name="7751.TW-Name,Bid,Ask,Price,PriceChange,PriceChangeRatio,Volume,TotalVolume,BestBidSize,BestAskSize" advise="1">
        <values cols="10">
          <value t="str">
            <val>竑騰</val>
          </value>
          <value>
            <val>1940</val>
          </value>
          <value>
            <val>1945</val>
          </value>
          <value>
            <val>1945</val>
          </value>
          <value>
            <val>50</val>
          </value>
          <value>
            <val>2.64</val>
          </value>
          <value>
            <val>13</val>
          </value>
          <value>
            <val>381</val>
          </value>
          <value>
            <val>2</val>
          </value>
          <value>
            <val>1</val>
          </value>
        </values>
      </ddeItem>
      <ddeItem name="7751.TW-PreClose,InOutRatio,AvgPrice,Capital,Profit,MarketValue" advise="1">
        <values cols="6">
          <value>
            <val>1895</val>
          </value>
          <value>
            <val>51.35</val>
          </value>
          <value>
            <val>1931.57</val>
          </value>
          <value>
            <val>2.69</val>
          </value>
          <value>
            <val>6.5</val>
          </value>
          <value>
            <val>523</val>
          </value>
        </values>
      </ddeItem>
      <ddeItem name="7769.TW-Name,Bid,Ask,Price,PriceChange,PriceChangeRatio,Volume,TotalVolume,BestBidSize,BestAskSize" advise="1">
        <values cols="10">
          <value t="str">
            <val>鴻勁</val>
          </value>
          <value>
            <val>4440</val>
          </value>
          <value>
            <val>4445</val>
          </value>
          <value>
            <val>4445</val>
          </value>
          <value>
            <val>-55</val>
          </value>
          <value>
            <val>-1.22</val>
          </value>
          <value>
            <val>48</val>
          </value>
          <value>
            <val>965</val>
          </value>
          <value>
            <val>1</val>
          </value>
          <value>
            <val>2</val>
          </value>
        </values>
      </ddeItem>
      <ddeItem name="7769.TW-PreClose,InOutRatio,AvgPrice,Capital,Profit,MarketValue" advise="1">
        <values cols="6">
          <value>
            <val>4500</val>
          </value>
          <value>
            <val>37.880000000000003</val>
          </value>
          <value>
            <val>4492.28</val>
          </value>
          <value>
            <val>17.989999999999998</val>
          </value>
          <value>
            <val>22.73</val>
          </value>
          <value>
            <val>7997.9</val>
          </value>
        </values>
      </ddeItem>
      <ddeItem name="7788.TW-Name,Bid,Ask,Price,PriceChange,PriceChangeRatio,Volume,TotalVolume,BestBidSize,BestAskSize" advise="1">
        <values cols="10">
          <value t="str">
            <val>松川精密</val>
          </value>
          <value>
            <val>166</val>
          </value>
          <value>
            <val>167</val>
          </value>
          <value>
            <val>167</val>
          </value>
          <value>
            <val>4</val>
          </value>
          <value>
            <val>2.4500000000000002</val>
          </value>
          <value>
            <val>27</val>
          </value>
          <value>
            <val>796</val>
          </value>
          <value>
            <val>26</val>
          </value>
          <value>
            <val>2</val>
          </value>
        </values>
      </ddeItem>
      <ddeItem name="7788.TW-PreClose,InOutRatio,AvgPrice,Capital,Profit,MarketValue" advise="1">
        <values cols="6">
          <value>
            <val>163</val>
          </value>
          <value>
            <val>34.64</val>
          </value>
          <value>
            <val>166.64</val>
          </value>
          <value>
            <val>7.97</val>
          </value>
          <value>
            <val>1.5</val>
          </value>
          <value>
            <val>133.19999999999999</val>
          </value>
        </values>
      </ddeItem>
      <ddeItem name="8021.TW-Name,Bid,Ask,Price,PriceChange,PriceChangeRatio,Volume,TotalVolume,BestBidSize,BestAskSize" advise="1">
        <values cols="10">
          <value t="str">
            <val>尖點</val>
          </value>
          <value>
            <val>418</val>
          </value>
          <value>
            <val>418.5</val>
          </value>
          <value>
            <val>418</val>
          </value>
          <value>
            <val>27.5</val>
          </value>
          <value>
            <val>7.04</val>
          </value>
          <value>
            <val>264</val>
          </value>
          <value>
            <val>4096</val>
          </value>
          <value>
            <val>37</val>
          </value>
          <value>
            <val>2</val>
          </value>
        </values>
      </ddeItem>
      <ddeItem name="8021.TW-PreClose,InOutRatio,AvgPrice,Capital,Profit,MarketValue" advise="1">
        <values cols="6">
          <value>
            <val>390.5</val>
          </value>
          <value>
            <val>40.729999999999997</val>
          </value>
          <value>
            <val>419.2</val>
          </value>
          <value>
            <val>14.5</val>
          </value>
          <value>
            <val>1.06</val>
          </value>
          <value>
            <val>606.29999999999995</val>
          </value>
        </values>
      </ddeItem>
      <ddeItem name="8039.TW-Name,Bid,Ask,Price,PriceChange,PriceChangeRatio,Volume,TotalVolume,BestBidSize,BestAskSize" advise="1">
        <values cols="10">
          <value t="str">
            <val>台虹</val>
          </value>
          <value>
            <val>142.5</val>
          </value>
          <value>
            <val>143</val>
          </value>
          <value>
            <val>143</val>
          </value>
          <value>
            <val>-0.5</val>
          </value>
          <value>
            <val>-0.35</val>
          </value>
          <value>
            <val>738</val>
          </value>
          <value>
            <val>21755</val>
          </value>
          <value>
            <val>30</val>
          </value>
          <value>
            <val>37</val>
          </value>
        </values>
      </ddeItem>
      <ddeItem name="8039.TW-PreClose,InOutRatio,AvgPrice,Capital,Profit,MarketValue" advise="1">
        <values cols="6">
          <value>
            <val>143.5</val>
          </value>
          <value>
            <val>44.77</val>
          </value>
          <value>
            <val>142.4</val>
          </value>
          <value>
            <val>26.37</val>
          </value>
          <value>
            <val>0.75</val>
          </value>
          <value>
            <val>376</val>
          </value>
        </values>
      </ddeItem>
      <ddeItem name="8048.TW-Name,Bid,Ask,Price,PriceChange,PriceChangeRatio,Volume,TotalVolume,BestBidSize,BestAskSize" advise="1">
        <values cols="10">
          <value t="str">
            <val>德勝</val>
          </value>
          <value>
            <val>71</val>
          </value>
          <value t="str">
            <val>--</val>
          </value>
          <value>
            <val>71</val>
          </value>
          <value>
            <val>6.4</val>
          </value>
          <value>
            <val>9.91</val>
          </value>
          <value>
            <val>17</val>
          </value>
          <value>
            <val>2295</val>
          </value>
          <value>
            <val>225</val>
          </value>
          <value>
            <val>0</val>
          </value>
        </values>
      </ddeItem>
      <ddeItem name="8048.TW-PreClose,InOutRatio,AvgPrice,Capital,Profit,MarketValue" advise="1">
        <values cols="6">
          <value>
            <val>64.599999999999994</val>
          </value>
          <value>
            <val>83.99</val>
          </value>
          <value>
            <val>69.31</val>
          </value>
          <value>
            <val>5.77</val>
          </value>
          <value>
            <val>0.99</val>
          </value>
          <value>
            <val>41</val>
          </value>
        </values>
      </ddeItem>
      <ddeItem name="8059.TW-Name,Bid,Ask,Price,PriceChange,PriceChangeRatio,Volume,TotalVolume,BestBidSize,BestAskSize" advise="1">
        <values cols="10">
          <value t="str">
            <val>凱碩</val>
          </value>
          <value>
            <val>19.850000000000001</val>
          </value>
          <value>
            <val>20</val>
          </value>
          <value>
            <val>19.850000000000001</val>
          </value>
          <value>
            <val>-0.15</val>
          </value>
          <value>
            <val>-0.75</val>
          </value>
          <value>
            <val>9</val>
          </value>
          <value>
            <val>736</val>
          </value>
          <value>
            <val>3</val>
          </value>
          <value>
            <val>4</val>
          </value>
        </values>
      </ddeItem>
      <ddeItem name="8059.TW-PreClose,InOutRatio,AvgPrice,Capital,Profit,MarketValue" advise="1">
        <values cols="6">
          <value>
            <val>20</val>
          </value>
          <value>
            <val>33.659999999999997</val>
          </value>
          <value>
            <val>20.190000000000001</val>
          </value>
          <value>
            <val>19.399999999999999</val>
          </value>
          <value>
            <val>0.02</val>
          </value>
          <value>
            <val>38.5</val>
          </value>
        </values>
      </ddeItem>
      <ddeItem name="8068.TW-Name,Bid,Ask,Price,PriceChange,PriceChangeRatio,Volume,TotalVolume,BestBidSize,BestAskSize" advise="1">
        <values cols="10">
          <value t="str">
            <val>全達</val>
          </value>
          <value>
            <val>23.45</val>
          </value>
          <value>
            <val>23.6</val>
          </value>
          <value>
            <val>23.45</val>
          </value>
          <value>
            <val>-0.8</val>
          </value>
          <value>
            <val>-3.3</val>
          </value>
          <value>
            <val>31</val>
          </value>
          <value>
            <val>677</val>
          </value>
          <value>
            <val>5</val>
          </value>
          <value>
            <val>6</val>
          </value>
        </values>
      </ddeItem>
      <ddeItem name="8068.TW-PreClose,InOutRatio,AvgPrice,Capital,Profit,MarketValue" advise="1">
        <values cols="6">
          <value>
            <val>24.25</val>
          </value>
          <value>
            <val>29.27</val>
          </value>
          <value>
            <val>23.83</val>
          </value>
          <value>
            <val>8.08</val>
          </value>
          <value>
            <val>-0.03</val>
          </value>
          <value>
            <val>18.899999999999999</val>
          </value>
        </values>
      </ddeItem>
      <ddeItem name="8070.TW-Name,Bid,Ask,Price,PriceChange,PriceChangeRatio,Volume,TotalVolume,BestBidSize,BestAskSize" advise="1">
        <values cols="10">
          <value t="str">
            <val>長華*</val>
          </value>
          <value>
            <val>48.45</val>
          </value>
          <value>
            <val>48.5</val>
          </value>
          <value>
            <val>48.5</val>
          </value>
          <value>
            <val>0.2</val>
          </value>
          <value>
            <val>0.41</val>
          </value>
          <value>
            <val>293</val>
          </value>
          <value>
            <val>5563</val>
          </value>
          <value>
            <val>26</val>
          </value>
          <value>
            <val>41</val>
          </value>
        </values>
      </ddeItem>
      <ddeItem name="8070.TW-PreClose,InOutRatio,AvgPrice,Capital,Profit,MarketValue" advise="1">
        <values cols="6">
          <value>
            <val>48.3</val>
          </value>
          <value>
            <val>58.8</val>
          </value>
          <value>
            <val>48.84</val>
          </value>
          <value>
            <val>7.26</val>
          </value>
          <value>
            <val>-0.47</val>
          </value>
          <value>
            <val>351.9</val>
          </value>
        </values>
      </ddeItem>
      <ddeItem name="8086.TW-Name,Bid,Ask,Price,PriceChange,PriceChangeRatio,Volume,TotalVolume,BestBidSize,BestAskSize" advise="1">
        <values cols="10">
          <value t="str">
            <val>宏捷科</val>
          </value>
          <value>
            <val>150</val>
          </value>
          <value>
            <val>150.5</val>
          </value>
          <value>
            <val>150</val>
          </value>
          <value>
            <val>1.5</val>
          </value>
          <value>
            <val>1.01</val>
          </value>
          <value>
            <val>920</val>
          </value>
          <value>
            <val>22988</val>
          </value>
          <value>
            <val>12</val>
          </value>
          <value>
            <val>76</val>
          </value>
        </values>
      </ddeItem>
      <ddeItem name="8086.TW-PreClose,InOutRatio,AvgPrice,Capital,Profit,MarketValue" advise="1">
        <values cols="6">
          <value>
            <val>148.5</val>
          </value>
          <value>
            <val>50.31</val>
          </value>
          <value>
            <val>152.30000000000001</val>
          </value>
          <value>
            <val>19.649999999999999</val>
          </value>
          <value>
            <val>1.33</val>
          </value>
          <value>
            <val>294.8</val>
          </value>
        </values>
      </ddeItem>
      <ddeItem name="8088.TW-Name,Bid,Ask,Price,PriceChange,PriceChangeRatio,Volume,TotalVolume,BestBidSize,BestAskSize" advise="1">
        <values cols="10">
          <value t="str">
            <val>品安</val>
          </value>
          <value>
            <val>50.1</val>
          </value>
          <value>
            <val>50.2</val>
          </value>
          <value>
            <val>50.1</val>
          </value>
          <value>
            <val>-0.5</val>
          </value>
          <value>
            <val>-0.99</val>
          </value>
          <value>
            <val>94</val>
          </value>
          <value>
            <val>1583</val>
          </value>
          <value>
            <val>35</val>
          </value>
          <value>
            <val>11</val>
          </value>
        </values>
      </ddeItem>
      <ddeItem name="8088.TW-PreClose,InOutRatio,AvgPrice,Capital,Profit,MarketValue" advise="1">
        <values cols="6">
          <value>
            <val>50.6</val>
          </value>
          <value>
            <val>35.53</val>
          </value>
          <value>
            <val>50.6</val>
          </value>
          <value>
            <val>6.09</val>
          </value>
          <value>
            <val>1.41</val>
          </value>
          <value>
            <val>30.5</val>
          </value>
        </values>
      </ddeItem>
      <ddeItem name="8104.TW-Name,Bid,Ask,Price,PriceChange,PriceChangeRatio,Volume,TotalVolume,BestBidSize,BestAskSize" advise="1">
        <values cols="10">
          <value t="str">
            <val>錸寶</val>
          </value>
          <value>
            <val>38.65</val>
          </value>
          <value>
            <val>38.700000000000003</val>
          </value>
          <value>
            <val>38.700000000000003</val>
          </value>
          <value>
            <val>-1.3</val>
          </value>
          <value>
            <val>-3.25</val>
          </value>
          <value>
            <val>106</val>
          </value>
          <value>
            <val>3134</val>
          </value>
          <value>
            <val>13</val>
          </value>
          <value>
            <val>4</val>
          </value>
        </values>
      </ddeItem>
      <ddeItem name="8104.TW-PreClose,InOutRatio,AvgPrice,Capital,Profit,MarketValue" advise="1">
        <values cols="6">
          <value>
            <val>40</val>
          </value>
          <value>
            <val>37.94</val>
          </value>
          <value>
            <val>39.42</val>
          </value>
          <value>
            <val>10.41</val>
          </value>
          <value>
            <val>-0.69</val>
          </value>
          <value>
            <val>40.299999999999997</val>
          </value>
        </values>
      </ddeItem>
      <ddeItem name="8111.TW-Name,Bid,Ask,Price,PriceChange,PriceChangeRatio,Volume,TotalVolume,BestBidSize,BestAskSize" advise="1">
        <values cols="10">
          <value t="str">
            <val>立碁</val>
          </value>
          <value>
            <val>77.5</val>
          </value>
          <value>
            <val>77.599999999999994</val>
          </value>
          <value>
            <val>77.599999999999994</val>
          </value>
          <value>
            <val>-1.6</val>
          </value>
          <value>
            <val>-2.02</val>
          </value>
          <value>
            <val>805</val>
          </value>
          <value>
            <val>30414</val>
          </value>
          <value>
            <val>51</val>
          </value>
          <value>
            <val>7</val>
          </value>
        </values>
      </ddeItem>
      <ddeItem name="8111.TW-PreClose,InOutRatio,AvgPrice,Capital,Profit,MarketValue" advise="1">
        <values cols="6">
          <value>
            <val>79.2</val>
          </value>
          <value>
            <val>38.86</val>
          </value>
          <value>
            <val>79.39</val>
          </value>
          <value>
            <val>10.91</val>
          </value>
          <value>
            <val>0.33</val>
          </value>
          <value>
            <val>84.7</val>
          </value>
        </values>
      </ddeItem>
      <ddeItem name="8121.TW-Name,Bid,Ask,Price,PriceChange,PriceChangeRatio,Volume,TotalVolume,BestBidSize,BestAskSize" advise="1">
        <values cols="10">
          <value t="str">
            <val>越峰</val>
          </value>
          <value>
            <val>28.5</val>
          </value>
          <value>
            <val>28.6</val>
          </value>
          <value>
            <val>28.5</val>
          </value>
          <value>
            <val>-0.85</val>
          </value>
          <value>
            <val>-2.9</val>
          </value>
          <value>
            <val>25</val>
          </value>
          <value>
            <val>1746</val>
          </value>
          <value>
            <val>19</val>
          </value>
          <value>
            <val>1</val>
          </value>
        </values>
      </ddeItem>
      <ddeItem name="8121.TW-PreClose,InOutRatio,AvgPrice,Capital,Profit,MarketValue" advise="1">
        <values cols="6">
          <value>
            <val>29.35</val>
          </value>
          <value>
            <val>37.840000000000003</val>
          </value>
          <value>
            <val>29.3</val>
          </value>
          <value>
            <val>21.3</val>
          </value>
          <value>
            <val>0.09</val>
          </value>
          <value>
            <val>60.7</val>
          </value>
        </values>
      </ddeItem>
      <ddeItem name="8147.TW-Name,Bid,Ask,Price,PriceChange,PriceChangeRatio,Volume,TotalVolume,BestBidSize,BestAskSize" advise="1">
        <values cols="10">
          <value t="str">
            <val>正淩</val>
          </value>
          <value>
            <val>158.5</val>
          </value>
          <value>
            <val>159</val>
          </value>
          <value>
            <val>158.5</val>
          </value>
          <value>
            <val>-3.5</val>
          </value>
          <value>
            <val>-2.16</val>
          </value>
          <value>
            <val>57</val>
          </value>
          <value>
            <val>1731</val>
          </value>
          <value>
            <val>4</val>
          </value>
          <value>
            <val>1</val>
          </value>
        </values>
      </ddeItem>
      <ddeItem name="8147.TW-PreClose,InOutRatio,AvgPrice,Capital,Profit,MarketValue" advise="1">
        <values cols="6">
          <value>
            <val>162</val>
          </value>
          <value>
            <val>37.700000000000003</val>
          </value>
          <value>
            <val>162.25</val>
          </value>
          <value>
            <val>4.1500000000000004</val>
          </value>
          <value>
            <val>0.4</val>
          </value>
          <value>
            <val>65.7</val>
          </value>
        </values>
      </ddeItem>
      <ddeItem name="8155.TW-Name,Bid,Ask,Price,PriceChange,PriceChangeRatio,Volume,TotalVolume,BestBidSize,BestAskSize" advise="1">
        <values cols="10">
          <value t="str">
            <val>博智</val>
          </value>
          <value>
            <val>401</val>
          </value>
          <value>
            <val>402</val>
          </value>
          <value>
            <val>401.5</val>
          </value>
          <value>
            <val>24</val>
          </value>
          <value>
            <val>6.36</val>
          </value>
          <value>
            <val>75</val>
          </value>
          <value>
            <val>4447</val>
          </value>
          <value>
            <val>19</val>
          </value>
          <value>
            <val>8</val>
          </value>
        </values>
      </ddeItem>
      <ddeItem name="8155.TW-PreClose,InOutRatio,AvgPrice,Capital,Profit,MarketValue" advise="1">
        <values cols="6">
          <value>
            <val>377.5</val>
          </value>
          <value>
            <val>50.18</val>
          </value>
          <value>
            <val>400.65</val>
          </value>
          <value>
            <val>6.07</val>
          </value>
          <value>
            <val>3.56</val>
          </value>
          <value>
            <val>240.5</val>
          </value>
        </values>
      </ddeItem>
      <ddeItem name="8182.TW-Name,Bid,Ask,Price,PriceChange,PriceChangeRatio,Volume,TotalVolume,BestBidSize,BestAskSize" advise="1">
        <values cols="10">
          <value t="str">
            <val>加高</val>
          </value>
          <value>
            <val>42.95</val>
          </value>
          <value t="str">
            <val>--</val>
          </value>
          <value>
            <val>42.95</val>
          </value>
          <value>
            <val>3.9</val>
          </value>
          <value>
            <val>9.99</val>
          </value>
          <value>
            <val>4</val>
          </value>
          <value>
            <val>7590</val>
          </value>
          <value>
            <val>249</val>
          </value>
          <value>
            <val>0</val>
          </value>
        </values>
      </ddeItem>
      <ddeItem name="8182.TW-PreClose,InOutRatio,AvgPrice,Capital,Profit,MarketValue" advise="1">
        <values cols="6">
          <value>
            <val>39.049999999999997</val>
          </value>
          <value>
            <val>64.44</val>
          </value>
          <value>
            <val>41.91</val>
          </value>
          <value>
            <val>10.7</val>
          </value>
          <value>
            <val>0.39</val>
          </value>
          <value>
            <val>46</val>
          </value>
        </values>
      </ddeItem>
      <ddeItem name="8183.TW-Name,Bid,Ask,Price,PriceChange,PriceChangeRatio,Volume,TotalVolume,BestBidSize,BestAskSize" advise="1">
        <values cols="10">
          <value t="str">
            <val>精星</val>
          </value>
          <value>
            <val>36.9</val>
          </value>
          <value>
            <val>36.950000000000003</val>
          </value>
          <value>
            <val>36.9</val>
          </value>
          <value>
            <val>0.05</val>
          </value>
          <value>
            <val>0.14000000000000001</val>
          </value>
          <value>
            <val>40</val>
          </value>
          <value>
            <val>877</val>
          </value>
          <value>
            <val>10</val>
          </value>
          <value>
            <val>1</val>
          </value>
        </values>
      </ddeItem>
      <ddeItem name="8183.TW-PreClose,InOutRatio,AvgPrice,Capital,Profit,MarketValue" advise="1">
        <values cols="6">
          <value>
            <val>36.85</val>
          </value>
          <value>
            <val>37.659999999999997</val>
          </value>
          <value>
            <val>36.700000000000003</val>
          </value>
          <value>
            <val>12.13</val>
          </value>
          <value>
            <val>1.43</val>
          </value>
          <value>
            <val>44.7</val>
          </value>
        </values>
      </ddeItem>
      <ddeItem name="8215.TW-Name,Bid,Ask,Price,PriceChange,PriceChangeRatio,Volume,TotalVolume,BestBidSize,BestAskSize" advise="1">
        <values cols="10">
          <value t="str">
            <val>明基材</val>
          </value>
          <value>
            <val>26.55</val>
          </value>
          <value>
            <val>26.6</val>
          </value>
          <value>
            <val>26.55</val>
          </value>
          <value>
            <val>-2.7</val>
          </value>
          <value>
            <val>-9.23</val>
          </value>
          <value>
            <val>261</val>
          </value>
          <value>
            <val>13002</val>
          </value>
          <value>
            <val>38</val>
          </value>
          <value>
            <val>14</val>
          </value>
        </values>
      </ddeItem>
      <ddeItem name="8215.TW-PreClose,InOutRatio,AvgPrice,Capital,Profit,MarketValue" advise="1">
        <values cols="6">
          <value>
            <val>29.25</val>
          </value>
          <value>
            <val>32.71</val>
          </value>
          <value>
            <val>27.13</val>
          </value>
          <value>
            <val>32.07</val>
          </value>
          <value>
            <val>-1.02</val>
          </value>
          <value>
            <val>85.1</val>
          </value>
        </values>
      </ddeItem>
      <ddeItem name="8255.TW-Name,Bid,Ask,Price,PriceChange,PriceChangeRatio,Volume,TotalVolume,BestBidSize,BestAskSize" advise="1">
        <values cols="10">
          <value t="str">
            <val>朋程</val>
          </value>
          <value>
            <val>132.5</val>
          </value>
          <value>
            <val>133</val>
          </value>
          <value>
            <val>132.5</val>
          </value>
          <value>
            <val>1</val>
          </value>
          <value>
            <val>0.76</val>
          </value>
          <value>
            <val>21</val>
          </value>
          <value>
            <val>666</val>
          </value>
          <value>
            <val>6</val>
          </value>
          <value>
            <val>15</val>
          </value>
        </values>
      </ddeItem>
      <ddeItem name="8255.TW-PreClose,InOutRatio,AvgPrice,Capital,Profit,MarketValue" advise="1">
        <values cols="6">
          <value>
            <val>131.5</val>
          </value>
          <value>
            <val>50.08</val>
          </value>
          <value>
            <val>133.25</val>
          </value>
          <value>
            <val>10.18</val>
          </value>
          <value>
            <val>1.67</val>
          </value>
          <value>
            <val>134.9</val>
          </value>
        </values>
      </ddeItem>
      <ddeItem name="8261.TW-Name,Bid,Ask,Price,PriceChange,PriceChangeRatio,Volume,TotalVolume,BestBidSize,BestAskSize" advise="1">
        <values cols="10">
          <value t="str">
            <val>富鼎</val>
          </value>
          <value>
            <val>126</val>
          </value>
          <value>
            <val>126.5</val>
          </value>
          <value>
            <val>126</val>
          </value>
          <value>
            <val>-1.5</val>
          </value>
          <value>
            <val>-1.18</val>
          </value>
          <value>
            <val>560</val>
          </value>
          <value>
            <val>13212</val>
          </value>
          <value>
            <val>15</val>
          </value>
          <value>
            <val>38</val>
          </value>
        </values>
      </ddeItem>
      <ddeItem name="8261.TW-PreClose,InOutRatio,AvgPrice,Capital,Profit,MarketValue" advise="1">
        <values cols="6">
          <value>
            <val>127.5</val>
          </value>
          <value>
            <val>48.93</val>
          </value>
          <value>
            <val>127.13</val>
          </value>
          <value>
            <val>11.89</val>
          </value>
          <value>
            <val>1.68</val>
          </value>
          <value>
            <val>105.7</val>
          </value>
        </values>
      </ddeItem>
      <ddeItem name="8289.TW-Name,Bid,Ask,Price,PriceChange,PriceChangeRatio,Volume,TotalVolume,BestBidSize,BestAskSize" advise="1">
        <values cols="10">
          <value t="str">
            <val>泰藝</val>
          </value>
          <value>
            <val>54.6</val>
          </value>
          <value t="str">
            <val>--</val>
          </value>
          <value>
            <val>54.6</val>
          </value>
          <value>
            <val>4.95</val>
          </value>
          <value>
            <val>9.9700000000000006</val>
          </value>
          <value>
            <val>14</val>
          </value>
          <value>
            <val>11349</val>
          </value>
          <value>
            <val>896</val>
          </value>
          <value>
            <val>0</val>
          </value>
        </values>
      </ddeItem>
      <ddeItem name="8289.TW-PreClose,InOutRatio,AvgPrice,Capital,Profit,MarketValue" advise="1">
        <values cols="6">
          <value>
            <val>49.65</val>
          </value>
          <value>
            <val>67.61</val>
          </value>
          <value>
            <val>53.5</val>
          </value>
          <value>
            <val>6.83</val>
          </value>
          <value>
            <val>0.28000000000000003</val>
          </value>
          <value>
            <val>37.299999999999997</val>
          </value>
        </values>
      </ddeItem>
      <ddeItem name="8358.TW-Name,Bid,Ask,Price,PriceChange,PriceChangeRatio,Volume,TotalVolume,BestBidSize,BestAskSize" advise="1">
        <values cols="10">
          <value t="str">
            <val>金居</val>
          </value>
          <value>
            <val>404</val>
          </value>
          <value t="str">
            <val>--</val>
          </value>
          <value>
            <val>404</val>
          </value>
          <value>
            <val>36.5</val>
          </value>
          <value>
            <val>9.93</val>
          </value>
          <value>
            <val>204</val>
          </value>
          <value>
            <val>49993</val>
          </value>
          <value>
            <val>22304</val>
          </value>
          <value>
            <val>0</val>
          </value>
        </values>
      </ddeItem>
      <ddeItem name="8358.TW-PreClose,InOutRatio,AvgPrice,Capital,Profit,MarketValue" advise="1">
        <values cols="6">
          <value>
            <val>367.5</val>
          </value>
          <value>
            <val>58.29</val>
          </value>
          <value>
            <val>388.13</val>
          </value>
          <value>
            <val>25.26</val>
          </value>
          <value>
            <val>1.49</val>
          </value>
          <value>
            <val>1020.5</val>
          </value>
        </values>
      </ddeItem>
      <ddeItem name="8383.TW-Name,Bid,Ask,Price,PriceChange,PriceChangeRatio,Volume,TotalVolume,BestBidSize,BestAskSize" advise="1">
        <values cols="10">
          <value t="str">
            <val>千附</val>
          </value>
          <value>
            <val>68.599999999999994</val>
          </value>
          <value t="str">
            <val>--</val>
          </value>
          <value>
            <val>68.599999999999994</val>
          </value>
          <value>
            <val>6.2</val>
          </value>
          <value>
            <val>9.94</val>
          </value>
          <value>
            <val>21</val>
          </value>
          <value>
            <val>5137</val>
          </value>
          <value>
            <val>3809</val>
          </value>
          <value>
            <val>0</val>
          </value>
        </values>
      </ddeItem>
      <ddeItem name="8383.TW-PreClose,InOutRatio,AvgPrice,Capital,Profit,MarketValue" advise="1">
        <values cols="6">
          <value>
            <val>62.4</val>
          </value>
          <value>
            <val>62.25</val>
          </value>
          <value>
            <val>67.180000000000007</val>
          </value>
          <value>
            <val>11.38</val>
          </value>
          <value>
            <val>1.52</val>
          </value>
          <value>
            <val>78</val>
          </value>
        </values>
      </ddeItem>
      <ddeItem name="8438.TW-Name,Bid,Ask,Price,PriceChange,PriceChangeRatio,Volume,TotalVolume,BestBidSize,BestAskSize" advise="1">
        <values cols="10">
          <value t="str">
            <val>昶昕</val>
          </value>
          <value>
            <val>88.3</val>
          </value>
          <value>
            <val>88.5</val>
          </value>
          <value>
            <val>88.4</val>
          </value>
          <value>
            <val>0.1</val>
          </value>
          <value>
            <val>0.11</val>
          </value>
          <value>
            <val>104</val>
          </value>
          <value>
            <val>1475</val>
          </value>
          <value>
            <val>2</val>
          </value>
          <value>
            <val>1</val>
          </value>
        </values>
      </ddeItem>
      <ddeItem name="8438.TW-PreClose,InOutRatio,AvgPrice,Capital,Profit,MarketValue" advise="1">
        <values cols="6">
          <value>
            <val>88.3</val>
          </value>
          <value>
            <val>45.3</val>
          </value>
          <value>
            <val>88.6</val>
          </value>
          <value>
            <val>6.99</val>
          </value>
          <value>
            <val>0.89</val>
          </value>
          <value>
            <val>61.8</val>
          </value>
        </values>
      </ddeItem>
      <ddeItem name="8942.TW-Name,Bid,Ask,Price,PriceChange,PriceChangeRatio,Volume,TotalVolume,BestBidSize,BestAskSize" advise="1">
        <values cols="10">
          <value t="str">
            <val>森鉅</val>
          </value>
          <value>
            <val>44.6</val>
          </value>
          <value>
            <val>44.85</val>
          </value>
          <value>
            <val>44.6</val>
          </value>
          <value>
            <val>-0.25</val>
          </value>
          <value>
            <val>-0.56000000000000005</val>
          </value>
          <value>
            <val>23</val>
          </value>
          <value>
            <val>568</val>
          </value>
          <value>
            <val>2</val>
          </value>
          <value>
            <val>5</val>
          </value>
        </values>
      </ddeItem>
      <ddeItem name="8942.TW-PreClose,InOutRatio,AvgPrice,Capital,Profit,MarketValue" advise="1">
        <values cols="6">
          <value>
            <val>44.85</val>
          </value>
          <value>
            <val>31.99</val>
          </value>
          <value>
            <val>45.06</val>
          </value>
          <value>
            <val>19.88</val>
          </value>
          <value>
            <val>0.09</val>
          </value>
          <value>
            <val>88.7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0DB-C992-4063-BD39-9C52D5029576}">
  <dimension ref="A1:P192"/>
  <sheetViews>
    <sheetView tabSelected="1" workbookViewId="0">
      <selection activeCell="K192" sqref="K192:P192"/>
    </sheetView>
  </sheetViews>
  <sheetFormatPr defaultRowHeight="16.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tr">
        <f t="array" ref="A2:J2">[1]!'6515.TW-Name,Bid,Ask,Price,PriceChange,PriceChangeRatio,Volume,TotalVolume,BestBidSize,BestAskSize'</f>
        <v>穎崴</v>
      </c>
      <c r="B2">
        <v>10795</v>
      </c>
      <c r="C2">
        <v>10800</v>
      </c>
      <c r="D2">
        <v>10795</v>
      </c>
      <c r="E2">
        <v>490</v>
      </c>
      <c r="F2">
        <v>4.75</v>
      </c>
      <c r="G2">
        <v>42</v>
      </c>
      <c r="H2">
        <v>381</v>
      </c>
      <c r="I2">
        <v>1</v>
      </c>
      <c r="J2">
        <v>5</v>
      </c>
      <c r="K2">
        <f t="array" ref="K2:P2">[1]!'6515.TW-PreClose,InOutRatio,AvgPrice,Capital,Profit,MarketValue'</f>
        <v>10305</v>
      </c>
      <c r="L2">
        <v>56.68</v>
      </c>
      <c r="M2">
        <v>10618.07</v>
      </c>
      <c r="N2">
        <v>3.6</v>
      </c>
      <c r="O2">
        <v>13.56</v>
      </c>
      <c r="P2">
        <v>3890.6</v>
      </c>
    </row>
    <row r="3" spans="1:16" x14ac:dyDescent="0.25">
      <c r="A3" t="str">
        <f t="array" ref="A3:J3">[1]!'3653.TW-Name,Bid,Ask,Price,PriceChange,PriceChangeRatio,Volume,TotalVolume,BestBidSize,BestAskSize'</f>
        <v>健策</v>
      </c>
      <c r="B3">
        <v>5020</v>
      </c>
      <c r="C3" t="str">
        <v>--</v>
      </c>
      <c r="D3">
        <v>5020</v>
      </c>
      <c r="E3">
        <v>455</v>
      </c>
      <c r="F3">
        <v>9.9700000000000006</v>
      </c>
      <c r="G3">
        <v>20</v>
      </c>
      <c r="H3">
        <v>1163</v>
      </c>
      <c r="I3">
        <v>287</v>
      </c>
      <c r="J3">
        <v>0</v>
      </c>
      <c r="K3">
        <f t="array" ref="K3:P3">[1]!'3653.TW-PreClose,InOutRatio,AvgPrice,Capital,Profit,MarketValue'</f>
        <v>4565</v>
      </c>
      <c r="L3">
        <v>65.59</v>
      </c>
      <c r="M3">
        <v>4932</v>
      </c>
      <c r="N3">
        <v>14.67</v>
      </c>
      <c r="O3">
        <v>9.9499999999999993</v>
      </c>
      <c r="P3">
        <v>7365.9</v>
      </c>
    </row>
    <row r="4" spans="1:16" x14ac:dyDescent="0.25">
      <c r="A4" t="str">
        <f t="array" ref="A4:J4">[1]!'7769.TW-Name,Bid,Ask,Price,PriceChange,PriceChangeRatio,Volume,TotalVolume,BestBidSize,BestAskSize'</f>
        <v>鴻勁</v>
      </c>
      <c r="B4">
        <v>4440</v>
      </c>
      <c r="C4">
        <v>4445</v>
      </c>
      <c r="D4">
        <v>4445</v>
      </c>
      <c r="E4">
        <v>-55</v>
      </c>
      <c r="F4">
        <v>-1.22</v>
      </c>
      <c r="G4">
        <v>48</v>
      </c>
      <c r="H4">
        <v>965</v>
      </c>
      <c r="I4">
        <v>1</v>
      </c>
      <c r="J4">
        <v>2</v>
      </c>
      <c r="K4">
        <f t="array" ref="K4:P4">[1]!'7769.TW-PreClose,InOutRatio,AvgPrice,Capital,Profit,MarketValue'</f>
        <v>4500</v>
      </c>
      <c r="L4">
        <v>37.880000000000003</v>
      </c>
      <c r="M4">
        <v>4492.28</v>
      </c>
      <c r="N4">
        <v>17.989999999999998</v>
      </c>
      <c r="O4">
        <v>22.73</v>
      </c>
      <c r="P4">
        <v>7997.9</v>
      </c>
    </row>
    <row r="5" spans="1:16" x14ac:dyDescent="0.25">
      <c r="A5" t="str">
        <f t="array" ref="A5:J5">[1]!'3529.TW-Name,Bid,Ask,Price,PriceChange,PriceChangeRatio,Volume,TotalVolume,BestBidSize,BestAskSize'</f>
        <v>力旺</v>
      </c>
      <c r="B5">
        <v>4380</v>
      </c>
      <c r="C5">
        <v>4390</v>
      </c>
      <c r="D5">
        <v>4385</v>
      </c>
      <c r="E5">
        <v>310</v>
      </c>
      <c r="F5">
        <v>7.61</v>
      </c>
      <c r="G5">
        <v>51</v>
      </c>
      <c r="H5">
        <v>1292</v>
      </c>
      <c r="I5">
        <v>1</v>
      </c>
      <c r="J5">
        <v>1</v>
      </c>
      <c r="K5">
        <f t="array" ref="K5:P5">[1]!'3529.TW-PreClose,InOutRatio,AvgPrice,Capital,Profit,MarketValue'</f>
        <v>4075</v>
      </c>
      <c r="L5">
        <v>48.48</v>
      </c>
      <c r="M5">
        <v>4169.09</v>
      </c>
      <c r="N5">
        <v>7.47</v>
      </c>
      <c r="O5">
        <v>7.54</v>
      </c>
      <c r="P5">
        <v>3275</v>
      </c>
    </row>
    <row r="6" spans="1:16" x14ac:dyDescent="0.25">
      <c r="A6" t="str">
        <f t="array" ref="A6:J6">[1]!'2059.TW-Name,Bid,Ask,Price,PriceChange,PriceChangeRatio,Volume,TotalVolume,BestBidSize,BestAskSize'</f>
        <v>川湖</v>
      </c>
      <c r="B6">
        <v>3740</v>
      </c>
      <c r="C6">
        <v>3745</v>
      </c>
      <c r="D6">
        <v>3745</v>
      </c>
      <c r="E6">
        <v>105</v>
      </c>
      <c r="F6">
        <v>2.88</v>
      </c>
      <c r="G6">
        <v>58</v>
      </c>
      <c r="H6">
        <v>744</v>
      </c>
      <c r="I6">
        <v>1</v>
      </c>
      <c r="J6">
        <v>2</v>
      </c>
      <c r="K6">
        <f t="array" ref="K6:P6">[1]!'2059.TW-PreClose,InOutRatio,AvgPrice,Capital,Profit,MarketValue'</f>
        <v>3640</v>
      </c>
      <c r="L6">
        <v>58.1</v>
      </c>
      <c r="M6">
        <v>3726.72</v>
      </c>
      <c r="N6">
        <v>9.5299999999999994</v>
      </c>
      <c r="O6">
        <v>36.880000000000003</v>
      </c>
      <c r="P6">
        <v>3568.9</v>
      </c>
    </row>
    <row r="7" spans="1:16" x14ac:dyDescent="0.25">
      <c r="A7" t="str">
        <f t="array" ref="A7:J7">[1]!'3081.TW-Name,Bid,Ask,Price,PriceChange,PriceChangeRatio,Volume,TotalVolume,BestBidSize,BestAskSize'</f>
        <v>聯亞</v>
      </c>
      <c r="B7">
        <v>2860</v>
      </c>
      <c r="C7" t="str">
        <v>--</v>
      </c>
      <c r="D7">
        <v>2860</v>
      </c>
      <c r="E7">
        <v>260</v>
      </c>
      <c r="F7">
        <v>10</v>
      </c>
      <c r="G7">
        <v>7</v>
      </c>
      <c r="H7">
        <v>1745</v>
      </c>
      <c r="I7">
        <v>392</v>
      </c>
      <c r="J7">
        <v>0</v>
      </c>
      <c r="K7">
        <f t="array" ref="K7:P7">[1]!'3081.TW-PreClose,InOutRatio,AvgPrice,Capital,Profit,MarketValue'</f>
        <v>2600</v>
      </c>
      <c r="L7">
        <v>65.349999999999994</v>
      </c>
      <c r="M7">
        <v>2808.7</v>
      </c>
      <c r="N7">
        <v>9.25</v>
      </c>
      <c r="O7">
        <v>2.0699999999999998</v>
      </c>
      <c r="P7">
        <v>2646</v>
      </c>
    </row>
    <row r="8" spans="1:16" x14ac:dyDescent="0.25">
      <c r="A8" t="str">
        <f t="array" ref="A8:J8">[1]!'7734.TW-Name,Bid,Ask,Price,PriceChange,PriceChangeRatio,Volume,TotalVolume,BestBidSize,BestAskSize'</f>
        <v>印能科技</v>
      </c>
      <c r="B8">
        <v>2570</v>
      </c>
      <c r="C8">
        <v>2615</v>
      </c>
      <c r="D8">
        <v>2605</v>
      </c>
      <c r="E8">
        <v>100</v>
      </c>
      <c r="F8">
        <v>3.99</v>
      </c>
      <c r="G8">
        <v>18</v>
      </c>
      <c r="H8">
        <v>571</v>
      </c>
      <c r="I8">
        <v>1</v>
      </c>
      <c r="J8">
        <v>1</v>
      </c>
      <c r="K8">
        <f t="array" ref="K8:P8">[1]!'7734.TW-PreClose,InOutRatio,AvgPrice,Capital,Profit,MarketValue'</f>
        <v>2505</v>
      </c>
      <c r="L8">
        <v>41.54</v>
      </c>
      <c r="M8">
        <v>2567.75</v>
      </c>
      <c r="N8">
        <v>2.8</v>
      </c>
      <c r="O8">
        <v>7.03</v>
      </c>
      <c r="P8">
        <v>729.4</v>
      </c>
    </row>
    <row r="9" spans="1:16" x14ac:dyDescent="0.25">
      <c r="A9" t="str">
        <f t="array" ref="A9:J9">[1]!'2360.TW-Name,Bid,Ask,Price,PriceChange,PriceChangeRatio,Volume,TotalVolume,BestBidSize,BestAskSize'</f>
        <v>致茂</v>
      </c>
      <c r="B9">
        <v>2045</v>
      </c>
      <c r="C9">
        <v>2050</v>
      </c>
      <c r="D9">
        <v>2050</v>
      </c>
      <c r="E9">
        <v>-205</v>
      </c>
      <c r="F9">
        <v>-9.09</v>
      </c>
      <c r="G9">
        <v>308</v>
      </c>
      <c r="H9">
        <v>7988</v>
      </c>
      <c r="I9">
        <v>28</v>
      </c>
      <c r="J9">
        <v>34</v>
      </c>
      <c r="K9">
        <f t="array" ref="K9:P9">[1]!'2360.TW-PreClose,InOutRatio,AvgPrice,Capital,Profit,MarketValue'</f>
        <v>2255</v>
      </c>
      <c r="L9">
        <v>46.55</v>
      </c>
      <c r="M9">
        <v>2080.65</v>
      </c>
      <c r="N9">
        <v>42.52</v>
      </c>
      <c r="O9">
        <v>6.04</v>
      </c>
      <c r="P9">
        <v>8717.5</v>
      </c>
    </row>
    <row r="10" spans="1:16" x14ac:dyDescent="0.25">
      <c r="A10" t="str">
        <f t="array" ref="A10:J10">[1]!'7751.TW-Name,Bid,Ask,Price,PriceChange,PriceChangeRatio,Volume,TotalVolume,BestBidSize,BestAskSize'</f>
        <v>竑騰</v>
      </c>
      <c r="B10">
        <v>1940</v>
      </c>
      <c r="C10">
        <v>1945</v>
      </c>
      <c r="D10">
        <v>1945</v>
      </c>
      <c r="E10">
        <v>50</v>
      </c>
      <c r="F10">
        <v>2.64</v>
      </c>
      <c r="G10">
        <v>13</v>
      </c>
      <c r="H10">
        <v>381</v>
      </c>
      <c r="I10">
        <v>2</v>
      </c>
      <c r="J10">
        <v>1</v>
      </c>
      <c r="K10">
        <f t="array" ref="K10:P10">[1]!'7751.TW-PreClose,InOutRatio,AvgPrice,Capital,Profit,MarketValue'</f>
        <v>1895</v>
      </c>
      <c r="L10">
        <v>51.35</v>
      </c>
      <c r="M10">
        <v>1931.57</v>
      </c>
      <c r="N10">
        <v>2.69</v>
      </c>
      <c r="O10">
        <v>6.5</v>
      </c>
      <c r="P10">
        <v>523</v>
      </c>
    </row>
    <row r="11" spans="1:16" x14ac:dyDescent="0.25">
      <c r="A11" t="str">
        <f t="array" ref="A11:J11">[1]!'7750.TW-Name,Bid,Ask,Price,PriceChange,PriceChangeRatio,Volume,TotalVolume,BestBidSize,BestAskSize'</f>
        <v>新代</v>
      </c>
      <c r="B11">
        <v>1915</v>
      </c>
      <c r="C11">
        <v>1920</v>
      </c>
      <c r="D11">
        <v>1915</v>
      </c>
      <c r="E11">
        <v>105</v>
      </c>
      <c r="F11">
        <v>5.8</v>
      </c>
      <c r="G11">
        <v>24</v>
      </c>
      <c r="H11">
        <v>633</v>
      </c>
      <c r="I11">
        <v>6</v>
      </c>
      <c r="J11">
        <v>1</v>
      </c>
      <c r="K11">
        <f t="array" ref="K11:P11">[1]!'7750.TW-PreClose,InOutRatio,AvgPrice,Capital,Profit,MarketValue'</f>
        <v>1810</v>
      </c>
      <c r="L11">
        <v>53.41</v>
      </c>
      <c r="M11">
        <v>1872.42</v>
      </c>
      <c r="N11">
        <v>7.18</v>
      </c>
      <c r="O11">
        <v>12.89</v>
      </c>
      <c r="P11">
        <v>1375.8</v>
      </c>
    </row>
    <row r="12" spans="1:16" x14ac:dyDescent="0.25">
      <c r="A12" t="str">
        <f t="array" ref="A12:J12">[1]!'3163.TW-Name,Bid,Ask,Price,PriceChange,PriceChangeRatio,Volume,TotalVolume,BestBidSize,BestAskSize'</f>
        <v>波若威</v>
      </c>
      <c r="B12">
        <v>1285</v>
      </c>
      <c r="C12">
        <v>1295</v>
      </c>
      <c r="D12">
        <v>1295</v>
      </c>
      <c r="E12">
        <v>70</v>
      </c>
      <c r="F12">
        <v>5.71</v>
      </c>
      <c r="G12">
        <v>66</v>
      </c>
      <c r="H12">
        <v>758</v>
      </c>
      <c r="I12">
        <v>2</v>
      </c>
      <c r="J12">
        <v>8</v>
      </c>
      <c r="K12">
        <f t="array" ref="K12:P12">[1]!'3163.TW-PreClose,InOutRatio,AvgPrice,Capital,Profit,MarketValue'</f>
        <v>1225</v>
      </c>
      <c r="L12">
        <v>68.69</v>
      </c>
      <c r="M12">
        <v>1286.83</v>
      </c>
      <c r="N12">
        <v>8.0500000000000007</v>
      </c>
      <c r="O12">
        <v>2.91</v>
      </c>
      <c r="P12">
        <v>1043</v>
      </c>
    </row>
    <row r="13" spans="1:16" x14ac:dyDescent="0.25">
      <c r="A13" t="str">
        <f t="array" ref="A13:J13">[1]!'1590.TW-Name,Bid,Ask,Price,PriceChange,PriceChangeRatio,Volume,TotalVolume,BestBidSize,BestAskSize'</f>
        <v>亞德客-KY</v>
      </c>
      <c r="B13">
        <v>1275</v>
      </c>
      <c r="C13">
        <v>1280</v>
      </c>
      <c r="D13">
        <v>1275</v>
      </c>
      <c r="E13">
        <v>20</v>
      </c>
      <c r="F13">
        <v>1.59</v>
      </c>
      <c r="G13">
        <v>198</v>
      </c>
      <c r="H13">
        <v>1841</v>
      </c>
      <c r="I13">
        <v>7</v>
      </c>
      <c r="J13">
        <v>24</v>
      </c>
      <c r="K13">
        <f t="array" ref="K13:P13">[1]!'1590.TW-PreClose,InOutRatio,AvgPrice,Capital,Profit,MarketValue'</f>
        <v>1255</v>
      </c>
      <c r="L13">
        <v>54.76</v>
      </c>
      <c r="M13">
        <v>1291.5899999999999</v>
      </c>
      <c r="N13">
        <v>20</v>
      </c>
      <c r="O13">
        <v>11.64</v>
      </c>
      <c r="P13">
        <v>2550</v>
      </c>
    </row>
    <row r="14" spans="1:16" x14ac:dyDescent="0.25">
      <c r="A14" t="str">
        <f t="array" ref="A14:J14">[1]!'6187.TW-Name,Bid,Ask,Price,PriceChange,PriceChangeRatio,Volume,TotalVolume,BestBidSize,BestAskSize'</f>
        <v>萬潤</v>
      </c>
      <c r="B14">
        <v>1225</v>
      </c>
      <c r="C14">
        <v>1230</v>
      </c>
      <c r="D14">
        <v>1225</v>
      </c>
      <c r="E14">
        <v>10</v>
      </c>
      <c r="F14">
        <v>0.82</v>
      </c>
      <c r="G14">
        <v>144</v>
      </c>
      <c r="H14">
        <v>5666</v>
      </c>
      <c r="I14">
        <v>51</v>
      </c>
      <c r="J14">
        <v>31</v>
      </c>
      <c r="K14">
        <f t="array" ref="K14:P14">[1]!'6187.TW-PreClose,InOutRatio,AvgPrice,Capital,Profit,MarketValue'</f>
        <v>1215</v>
      </c>
      <c r="L14">
        <v>49.99</v>
      </c>
      <c r="M14">
        <v>1243.56</v>
      </c>
      <c r="N14">
        <v>9.8000000000000007</v>
      </c>
      <c r="O14">
        <v>3.36</v>
      </c>
      <c r="P14">
        <v>1191.7</v>
      </c>
    </row>
    <row r="15" spans="1:16" x14ac:dyDescent="0.25">
      <c r="A15" t="str">
        <f t="array" ref="A15:J15">[1]!'2404.TW-Name,Bid,Ask,Price,PriceChange,PriceChangeRatio,Volume,TotalVolume,BestBidSize,BestAskSize'</f>
        <v>漢唐</v>
      </c>
      <c r="B15">
        <v>1025</v>
      </c>
      <c r="C15">
        <v>1030</v>
      </c>
      <c r="D15">
        <v>1025</v>
      </c>
      <c r="E15">
        <v>0</v>
      </c>
      <c r="F15">
        <v>0</v>
      </c>
      <c r="G15">
        <v>476</v>
      </c>
      <c r="H15">
        <v>6457</v>
      </c>
      <c r="I15">
        <v>156</v>
      </c>
      <c r="J15">
        <v>72</v>
      </c>
      <c r="K15">
        <f t="array" ref="K15:P15">[1]!'2404.TW-PreClose,InOutRatio,AvgPrice,Capital,Profit,MarketValue'</f>
        <v>1025</v>
      </c>
      <c r="L15">
        <v>52.49</v>
      </c>
      <c r="M15">
        <v>1032.22</v>
      </c>
      <c r="N15">
        <v>19.059999999999999</v>
      </c>
      <c r="O15">
        <v>14.02</v>
      </c>
      <c r="P15">
        <v>1953.5</v>
      </c>
    </row>
    <row r="16" spans="1:16" x14ac:dyDescent="0.25">
      <c r="A16" t="str">
        <f t="array" ref="A16:J16">[1]!'3363.TW-Name,Bid,Ask,Price,PriceChange,PriceChangeRatio,Volume,TotalVolume,BestBidSize,BestAskSize'</f>
        <v>上詮</v>
      </c>
      <c r="B16">
        <v>988</v>
      </c>
      <c r="C16" t="str">
        <v>--</v>
      </c>
      <c r="D16">
        <v>988</v>
      </c>
      <c r="E16">
        <v>89</v>
      </c>
      <c r="F16">
        <v>9.9</v>
      </c>
      <c r="G16">
        <v>27</v>
      </c>
      <c r="H16">
        <v>6603</v>
      </c>
      <c r="I16">
        <v>81</v>
      </c>
      <c r="J16">
        <v>0</v>
      </c>
      <c r="K16">
        <f t="array" ref="K16:P16">[1]!'3363.TW-PreClose,InOutRatio,AvgPrice,Capital,Profit,MarketValue'</f>
        <v>899</v>
      </c>
      <c r="L16">
        <v>65.45</v>
      </c>
      <c r="M16">
        <v>951.95</v>
      </c>
      <c r="N16">
        <v>11.36</v>
      </c>
      <c r="O16">
        <v>-0.22</v>
      </c>
      <c r="P16">
        <v>1122.8</v>
      </c>
    </row>
    <row r="17" spans="1:16" x14ac:dyDescent="0.25">
      <c r="A17" t="str">
        <f t="array" ref="A17:J17">[1]!'4971.TW-Name,Bid,Ask,Price,PriceChange,PriceChangeRatio,Volume,TotalVolume,BestBidSize,BestAskSize'</f>
        <v>IET-KY</v>
      </c>
      <c r="B17">
        <v>843</v>
      </c>
      <c r="C17" t="str">
        <v>--</v>
      </c>
      <c r="D17">
        <v>843</v>
      </c>
      <c r="E17">
        <v>76</v>
      </c>
      <c r="F17">
        <v>9.91</v>
      </c>
      <c r="G17">
        <v>4</v>
      </c>
      <c r="H17">
        <v>342</v>
      </c>
      <c r="I17">
        <v>131</v>
      </c>
      <c r="J17">
        <v>0</v>
      </c>
      <c r="K17">
        <f t="array" ref="K17:P17">[1]!'4971.TW-PreClose,InOutRatio,AvgPrice,Capital,Profit,MarketValue'</f>
        <v>767</v>
      </c>
      <c r="L17">
        <v>100</v>
      </c>
      <c r="M17">
        <v>843</v>
      </c>
      <c r="N17">
        <v>4</v>
      </c>
      <c r="O17">
        <v>1.55</v>
      </c>
      <c r="P17">
        <v>337.1</v>
      </c>
    </row>
    <row r="18" spans="1:16" x14ac:dyDescent="0.25">
      <c r="A18" t="str">
        <f t="array" ref="A18:J18">[1]!'3583.TW-Name,Bid,Ask,Price,PriceChange,PriceChangeRatio,Volume,TotalVolume,BestBidSize,BestAskSize'</f>
        <v>辛耘</v>
      </c>
      <c r="B18">
        <v>805</v>
      </c>
      <c r="C18">
        <v>808</v>
      </c>
      <c r="D18">
        <v>808</v>
      </c>
      <c r="E18">
        <v>48</v>
      </c>
      <c r="F18">
        <v>6.32</v>
      </c>
      <c r="G18">
        <v>91</v>
      </c>
      <c r="H18">
        <v>1513</v>
      </c>
      <c r="I18">
        <v>3</v>
      </c>
      <c r="J18">
        <v>1</v>
      </c>
      <c r="K18">
        <f t="array" ref="K18:P18">[1]!'3583.TW-PreClose,InOutRatio,AvgPrice,Capital,Profit,MarketValue'</f>
        <v>760</v>
      </c>
      <c r="L18">
        <v>40.549999999999997</v>
      </c>
      <c r="M18">
        <v>811.69</v>
      </c>
      <c r="N18">
        <v>8.0299999999999994</v>
      </c>
      <c r="O18">
        <v>4.0999999999999996</v>
      </c>
      <c r="P18">
        <v>649.1</v>
      </c>
    </row>
    <row r="19" spans="1:16" x14ac:dyDescent="0.25">
      <c r="A19" t="str">
        <f t="array" ref="A19:J19">[1]!'3293.TW-Name,Bid,Ask,Price,PriceChange,PriceChangeRatio,Volume,TotalVolume,BestBidSize,BestAskSize'</f>
        <v>鈊象</v>
      </c>
      <c r="B19">
        <v>784</v>
      </c>
      <c r="C19">
        <v>785</v>
      </c>
      <c r="D19">
        <v>785</v>
      </c>
      <c r="E19">
        <v>10</v>
      </c>
      <c r="F19">
        <v>1.29</v>
      </c>
      <c r="G19">
        <v>180</v>
      </c>
      <c r="H19">
        <v>1662</v>
      </c>
      <c r="I19">
        <v>10</v>
      </c>
      <c r="J19">
        <v>69</v>
      </c>
      <c r="K19">
        <f t="array" ref="K19:P19">[1]!'3293.TW-PreClose,InOutRatio,AvgPrice,Capital,Profit,MarketValue'</f>
        <v>775</v>
      </c>
      <c r="L19">
        <v>59.4</v>
      </c>
      <c r="M19">
        <v>781.35</v>
      </c>
      <c r="N19">
        <v>28.18</v>
      </c>
      <c r="O19">
        <v>10.61</v>
      </c>
      <c r="P19">
        <v>2212.1</v>
      </c>
    </row>
    <row r="20" spans="1:16" x14ac:dyDescent="0.25">
      <c r="A20" t="str">
        <f t="array" ref="A20:J20">[1]!'6139.TW-Name,Bid,Ask,Price,PriceChange,PriceChangeRatio,Volume,TotalVolume,BestBidSize,BestAskSize'</f>
        <v>亞翔</v>
      </c>
      <c r="B20">
        <v>751</v>
      </c>
      <c r="C20">
        <v>752</v>
      </c>
      <c r="D20">
        <v>751</v>
      </c>
      <c r="E20">
        <v>28</v>
      </c>
      <c r="F20">
        <v>3.87</v>
      </c>
      <c r="G20">
        <v>285</v>
      </c>
      <c r="H20">
        <v>6734</v>
      </c>
      <c r="I20">
        <v>4</v>
      </c>
      <c r="J20">
        <v>6</v>
      </c>
      <c r="K20">
        <f t="array" ref="K20:P20">[1]!'6139.TW-PreClose,InOutRatio,AvgPrice,Capital,Profit,MarketValue'</f>
        <v>723</v>
      </c>
      <c r="L20">
        <v>43.16</v>
      </c>
      <c r="M20">
        <v>750.05</v>
      </c>
      <c r="N20">
        <v>23.56</v>
      </c>
      <c r="O20">
        <v>13.2</v>
      </c>
      <c r="P20">
        <v>1767.3</v>
      </c>
    </row>
    <row r="21" spans="1:16" x14ac:dyDescent="0.25">
      <c r="A21" t="str">
        <f t="array" ref="A21:J21">[1]!'4991.TW-Name,Bid,Ask,Price,PriceChange,PriceChangeRatio,Volume,TotalVolume,BestBidSize,BestAskSize'</f>
        <v>環宇-KY</v>
      </c>
      <c r="B21">
        <v>723</v>
      </c>
      <c r="C21">
        <v>724</v>
      </c>
      <c r="D21">
        <v>724</v>
      </c>
      <c r="E21">
        <v>64</v>
      </c>
      <c r="F21">
        <v>9.6999999999999993</v>
      </c>
      <c r="G21">
        <v>84</v>
      </c>
      <c r="H21">
        <v>873</v>
      </c>
      <c r="I21">
        <v>1</v>
      </c>
      <c r="J21">
        <v>3</v>
      </c>
      <c r="K21">
        <f t="array" ref="K21:P21">[1]!'4991.TW-PreClose,InOutRatio,AvgPrice,Capital,Profit,MarketValue'</f>
        <v>660</v>
      </c>
      <c r="L21">
        <v>67.739999999999995</v>
      </c>
      <c r="M21">
        <v>715.2</v>
      </c>
      <c r="N21">
        <v>12.09</v>
      </c>
      <c r="O21">
        <v>0.6</v>
      </c>
      <c r="P21">
        <v>875.5</v>
      </c>
    </row>
    <row r="22" spans="1:16" x14ac:dyDescent="0.25">
      <c r="A22" t="str">
        <f t="array" ref="A22:J22">[1]!'4979.TW-Name,Bid,Ask,Price,PriceChange,PriceChangeRatio,Volume,TotalVolume,BestBidSize,BestAskSize'</f>
        <v>華星光</v>
      </c>
      <c r="B22">
        <v>708</v>
      </c>
      <c r="C22" t="str">
        <v>--</v>
      </c>
      <c r="D22">
        <v>708</v>
      </c>
      <c r="E22">
        <v>64</v>
      </c>
      <c r="F22">
        <v>9.94</v>
      </c>
      <c r="G22">
        <v>33</v>
      </c>
      <c r="H22">
        <v>9290</v>
      </c>
      <c r="I22">
        <v>1182</v>
      </c>
      <c r="J22">
        <v>0</v>
      </c>
      <c r="K22">
        <f t="array" ref="K22:P22">[1]!'4979.TW-PreClose,InOutRatio,AvgPrice,Capital,Profit,MarketValue'</f>
        <v>644</v>
      </c>
      <c r="L22">
        <v>67.599999999999994</v>
      </c>
      <c r="M22">
        <v>705.52</v>
      </c>
      <c r="N22">
        <v>14.24</v>
      </c>
      <c r="O22">
        <v>1.69</v>
      </c>
      <c r="P22">
        <v>1003.2</v>
      </c>
    </row>
    <row r="23" spans="1:16" x14ac:dyDescent="0.25">
      <c r="A23" t="str">
        <f t="array" ref="A23:J23">[1]!'6531.TW-Name,Bid,Ask,Price,PriceChange,PriceChangeRatio,Volume,TotalVolume,BestBidSize,BestAskSize'</f>
        <v>愛普*</v>
      </c>
      <c r="B23">
        <v>682</v>
      </c>
      <c r="C23">
        <v>683</v>
      </c>
      <c r="D23">
        <v>682</v>
      </c>
      <c r="E23">
        <v>38</v>
      </c>
      <c r="F23">
        <v>5.9</v>
      </c>
      <c r="G23">
        <v>324</v>
      </c>
      <c r="H23">
        <v>12121</v>
      </c>
      <c r="I23">
        <v>27</v>
      </c>
      <c r="J23">
        <v>5</v>
      </c>
      <c r="K23">
        <f t="array" ref="K23:P23">[1]!'6531.TW-PreClose,InOutRatio,AvgPrice,Capital,Profit,MarketValue'</f>
        <v>644</v>
      </c>
      <c r="L23">
        <v>57.86</v>
      </c>
      <c r="M23">
        <v>684.3</v>
      </c>
      <c r="N23">
        <v>8.14</v>
      </c>
      <c r="O23">
        <v>4.71</v>
      </c>
      <c r="P23">
        <v>1109.7</v>
      </c>
    </row>
    <row r="24" spans="1:16" x14ac:dyDescent="0.25">
      <c r="A24" t="str">
        <f t="array" ref="A24:J24">[1]!'3105.TW-Name,Bid,Ask,Price,PriceChange,PriceChangeRatio,Volume,TotalVolume,BestBidSize,BestAskSize'</f>
        <v>穩懋</v>
      </c>
      <c r="B24">
        <v>592</v>
      </c>
      <c r="C24" t="str">
        <v>--</v>
      </c>
      <c r="D24">
        <v>592</v>
      </c>
      <c r="E24">
        <v>53</v>
      </c>
      <c r="F24">
        <v>9.83</v>
      </c>
      <c r="G24">
        <v>105</v>
      </c>
      <c r="H24">
        <v>41984</v>
      </c>
      <c r="I24">
        <v>9197</v>
      </c>
      <c r="J24">
        <v>0</v>
      </c>
      <c r="K24">
        <f t="array" ref="K24:P24">[1]!'3105.TW-PreClose,InOutRatio,AvgPrice,Capital,Profit,MarketValue'</f>
        <v>539</v>
      </c>
      <c r="L24">
        <v>51.89</v>
      </c>
      <c r="M24">
        <v>574.24</v>
      </c>
      <c r="N24">
        <v>42.39</v>
      </c>
      <c r="O24">
        <v>2.4300000000000002</v>
      </c>
      <c r="P24">
        <v>2509.6999999999998</v>
      </c>
    </row>
    <row r="25" spans="1:16" x14ac:dyDescent="0.25">
      <c r="A25" t="str">
        <f t="array" ref="A25:J25">[1]!'6643.TW-Name,Bid,Ask,Price,PriceChange,PriceChangeRatio,Volume,TotalVolume,BestBidSize,BestAskSize'</f>
        <v>M31</v>
      </c>
      <c r="B25">
        <v>556</v>
      </c>
      <c r="C25" t="str">
        <v>--</v>
      </c>
      <c r="D25">
        <v>556</v>
      </c>
      <c r="E25">
        <v>50</v>
      </c>
      <c r="F25">
        <v>9.8800000000000008</v>
      </c>
      <c r="G25">
        <v>8</v>
      </c>
      <c r="H25">
        <v>3117</v>
      </c>
      <c r="I25">
        <v>920</v>
      </c>
      <c r="J25">
        <v>0</v>
      </c>
      <c r="K25">
        <f t="array" ref="K25:P25">[1]!'6643.TW-PreClose,InOutRatio,AvgPrice,Capital,Profit,MarketValue'</f>
        <v>506</v>
      </c>
      <c r="L25">
        <v>63.81</v>
      </c>
      <c r="M25">
        <v>534.03</v>
      </c>
      <c r="N25">
        <v>4.18</v>
      </c>
      <c r="O25">
        <v>2.38</v>
      </c>
      <c r="P25">
        <v>232.4</v>
      </c>
    </row>
    <row r="26" spans="1:16" x14ac:dyDescent="0.25">
      <c r="A26" t="str">
        <f t="array" ref="A26:J26">[1]!'6831.TW-Name,Bid,Ask,Price,PriceChange,PriceChangeRatio,Volume,TotalVolume,BestBidSize,BestAskSize'</f>
        <v>邁科</v>
      </c>
      <c r="B26">
        <v>494</v>
      </c>
      <c r="C26">
        <v>494.5</v>
      </c>
      <c r="D26">
        <v>494</v>
      </c>
      <c r="E26">
        <v>19</v>
      </c>
      <c r="F26">
        <v>4</v>
      </c>
      <c r="G26">
        <v>32</v>
      </c>
      <c r="H26">
        <v>1839</v>
      </c>
      <c r="I26">
        <v>11</v>
      </c>
      <c r="J26">
        <v>2</v>
      </c>
      <c r="K26">
        <f t="array" ref="K26:P26">[1]!'6831.TW-PreClose,InOutRatio,AvgPrice,Capital,Profit,MarketValue'</f>
        <v>475</v>
      </c>
      <c r="L26">
        <v>46.33</v>
      </c>
      <c r="M26">
        <v>503.23</v>
      </c>
      <c r="N26">
        <v>6.75</v>
      </c>
      <c r="O26">
        <v>1.85</v>
      </c>
      <c r="P26">
        <v>333.4</v>
      </c>
    </row>
    <row r="27" spans="1:16" x14ac:dyDescent="0.25">
      <c r="A27" t="str">
        <f t="array" ref="A27:J27">[1]!'6788.TW-Name,Bid,Ask,Price,PriceChange,PriceChangeRatio,Volume,TotalVolume,BestBidSize,BestAskSize'</f>
        <v>華景電</v>
      </c>
      <c r="B27">
        <v>474</v>
      </c>
      <c r="C27" t="str">
        <v>--</v>
      </c>
      <c r="D27">
        <v>474</v>
      </c>
      <c r="E27">
        <v>43</v>
      </c>
      <c r="F27">
        <v>9.98</v>
      </c>
      <c r="G27">
        <v>4</v>
      </c>
      <c r="H27">
        <v>1661</v>
      </c>
      <c r="I27">
        <v>182</v>
      </c>
      <c r="J27">
        <v>0</v>
      </c>
      <c r="K27">
        <f t="array" ref="K27:P27">[1]!'6788.TW-PreClose,InOutRatio,AvgPrice,Capital,Profit,MarketValue'</f>
        <v>431</v>
      </c>
      <c r="L27">
        <v>91.95</v>
      </c>
      <c r="M27">
        <v>473.45</v>
      </c>
      <c r="N27">
        <v>3.87</v>
      </c>
      <c r="O27">
        <v>5.27</v>
      </c>
      <c r="P27">
        <v>183.6</v>
      </c>
    </row>
    <row r="28" spans="1:16" x14ac:dyDescent="0.25">
      <c r="A28" t="str">
        <f t="array" ref="A28:J28">[1]!'5234.TW-Name,Bid,Ask,Price,PriceChange,PriceChangeRatio,Volume,TotalVolume,BestBidSize,BestAskSize'</f>
        <v>達興材料</v>
      </c>
      <c r="B28">
        <v>456</v>
      </c>
      <c r="C28">
        <v>456.5</v>
      </c>
      <c r="D28">
        <v>456.5</v>
      </c>
      <c r="E28">
        <v>13.5</v>
      </c>
      <c r="F28">
        <v>3.05</v>
      </c>
      <c r="G28">
        <v>46</v>
      </c>
      <c r="H28">
        <v>911</v>
      </c>
      <c r="I28">
        <v>1</v>
      </c>
      <c r="J28">
        <v>7</v>
      </c>
      <c r="K28">
        <f t="array" ref="K28:P28">[1]!'5234.TW-PreClose,InOutRatio,AvgPrice,Capital,Profit,MarketValue'</f>
        <v>443</v>
      </c>
      <c r="L28">
        <v>58.19</v>
      </c>
      <c r="M28">
        <v>455.89</v>
      </c>
      <c r="N28">
        <v>10.27</v>
      </c>
      <c r="O28">
        <v>2.0299999999999998</v>
      </c>
      <c r="P28">
        <v>468.9</v>
      </c>
    </row>
    <row r="29" spans="1:16" x14ac:dyDescent="0.25">
      <c r="A29" t="str">
        <f t="array" ref="A29:J29">[1]!'8021.TW-Name,Bid,Ask,Price,PriceChange,PriceChangeRatio,Volume,TotalVolume,BestBidSize,BestAskSize'</f>
        <v>尖點</v>
      </c>
      <c r="B29">
        <v>418</v>
      </c>
      <c r="C29">
        <v>418.5</v>
      </c>
      <c r="D29">
        <v>418</v>
      </c>
      <c r="E29">
        <v>27.5</v>
      </c>
      <c r="F29">
        <v>7.04</v>
      </c>
      <c r="G29">
        <v>264</v>
      </c>
      <c r="H29">
        <v>4096</v>
      </c>
      <c r="I29">
        <v>37</v>
      </c>
      <c r="J29">
        <v>2</v>
      </c>
      <c r="K29">
        <f t="array" ref="K29:P29">[1]!'8021.TW-PreClose,InOutRatio,AvgPrice,Capital,Profit,MarketValue'</f>
        <v>390.5</v>
      </c>
      <c r="L29">
        <v>40.729999999999997</v>
      </c>
      <c r="M29">
        <v>419.2</v>
      </c>
      <c r="N29">
        <v>14.5</v>
      </c>
      <c r="O29">
        <v>1.06</v>
      </c>
      <c r="P29">
        <v>606.29999999999995</v>
      </c>
    </row>
    <row r="30" spans="1:16" x14ac:dyDescent="0.25">
      <c r="A30" t="str">
        <f t="array" ref="A30:J30">[1]!'6725.TW-Name,Bid,Ask,Price,PriceChange,PriceChangeRatio,Volume,TotalVolume,BestBidSize,BestAskSize'</f>
        <v>矽科宏晟</v>
      </c>
      <c r="B30">
        <v>409</v>
      </c>
      <c r="C30">
        <v>410</v>
      </c>
      <c r="D30">
        <v>409</v>
      </c>
      <c r="E30">
        <v>18.5</v>
      </c>
      <c r="F30">
        <v>4.74</v>
      </c>
      <c r="G30">
        <v>38</v>
      </c>
      <c r="H30">
        <v>1602</v>
      </c>
      <c r="I30">
        <v>4</v>
      </c>
      <c r="J30">
        <v>2</v>
      </c>
      <c r="K30">
        <f t="array" ref="K30:P30">[1]!'6725.TW-PreClose,InOutRatio,AvgPrice,Capital,Profit,MarketValue'</f>
        <v>390.5</v>
      </c>
      <c r="L30">
        <v>45.45</v>
      </c>
      <c r="M30">
        <v>411.4</v>
      </c>
      <c r="N30">
        <v>3.71</v>
      </c>
      <c r="O30">
        <v>4.91</v>
      </c>
      <c r="P30">
        <v>151.9</v>
      </c>
    </row>
    <row r="31" spans="1:16" x14ac:dyDescent="0.25">
      <c r="A31" t="str">
        <f t="array" ref="A31:J31">[1]!'8358.TW-Name,Bid,Ask,Price,PriceChange,PriceChangeRatio,Volume,TotalVolume,BestBidSize,BestAskSize'</f>
        <v>金居</v>
      </c>
      <c r="B31">
        <v>404</v>
      </c>
      <c r="C31" t="str">
        <v>--</v>
      </c>
      <c r="D31">
        <v>404</v>
      </c>
      <c r="E31">
        <v>36.5</v>
      </c>
      <c r="F31">
        <v>9.93</v>
      </c>
      <c r="G31">
        <v>204</v>
      </c>
      <c r="H31">
        <v>49993</v>
      </c>
      <c r="I31">
        <v>22304</v>
      </c>
      <c r="J31">
        <v>0</v>
      </c>
      <c r="K31">
        <f t="array" ref="K31:P31">[1]!'8358.TW-PreClose,InOutRatio,AvgPrice,Capital,Profit,MarketValue'</f>
        <v>367.5</v>
      </c>
      <c r="L31">
        <v>58.29</v>
      </c>
      <c r="M31">
        <v>388.13</v>
      </c>
      <c r="N31">
        <v>25.26</v>
      </c>
      <c r="O31">
        <v>1.49</v>
      </c>
      <c r="P31">
        <v>1020.5</v>
      </c>
    </row>
    <row r="32" spans="1:16" x14ac:dyDescent="0.25">
      <c r="A32" t="str">
        <f t="array" ref="A32:J32">[1]!'8155.TW-Name,Bid,Ask,Price,PriceChange,PriceChangeRatio,Volume,TotalVolume,BestBidSize,BestAskSize'</f>
        <v>博智</v>
      </c>
      <c r="B32">
        <v>401</v>
      </c>
      <c r="C32">
        <v>402</v>
      </c>
      <c r="D32">
        <v>401.5</v>
      </c>
      <c r="E32">
        <v>24</v>
      </c>
      <c r="F32">
        <v>6.36</v>
      </c>
      <c r="G32">
        <v>75</v>
      </c>
      <c r="H32">
        <v>4447</v>
      </c>
      <c r="I32">
        <v>19</v>
      </c>
      <c r="J32">
        <v>8</v>
      </c>
      <c r="K32">
        <f t="array" ref="K32:P32">[1]!'8155.TW-PreClose,InOutRatio,AvgPrice,Capital,Profit,MarketValue'</f>
        <v>377.5</v>
      </c>
      <c r="L32">
        <v>50.18</v>
      </c>
      <c r="M32">
        <v>400.65</v>
      </c>
      <c r="N32">
        <v>6.07</v>
      </c>
      <c r="O32">
        <v>3.56</v>
      </c>
      <c r="P32">
        <v>240.5</v>
      </c>
    </row>
    <row r="33" spans="1:16" x14ac:dyDescent="0.25">
      <c r="A33" t="str">
        <f t="array" ref="A33:J33">[1]!'5475.TW-Name,Bid,Ask,Price,PriceChange,PriceChangeRatio,Volume,TotalVolume,BestBidSize,BestAskSize'</f>
        <v>德宏</v>
      </c>
      <c r="B33">
        <v>399.5</v>
      </c>
      <c r="C33">
        <v>400</v>
      </c>
      <c r="D33">
        <v>400</v>
      </c>
      <c r="E33">
        <v>31.5</v>
      </c>
      <c r="F33">
        <v>8.5500000000000007</v>
      </c>
      <c r="G33">
        <v>44</v>
      </c>
      <c r="H33">
        <v>5805</v>
      </c>
      <c r="I33">
        <v>3</v>
      </c>
      <c r="J33">
        <v>8</v>
      </c>
      <c r="K33">
        <f t="array" ref="K33:P33">[1]!'5475.TW-PreClose,InOutRatio,AvgPrice,Capital,Profit,MarketValue'</f>
        <v>368.5</v>
      </c>
      <c r="L33">
        <v>36.64</v>
      </c>
      <c r="M33">
        <v>377.24</v>
      </c>
      <c r="N33">
        <v>12.71</v>
      </c>
      <c r="O33">
        <v>0.1</v>
      </c>
      <c r="P33">
        <v>508.5</v>
      </c>
    </row>
    <row r="34" spans="1:16" x14ac:dyDescent="0.25">
      <c r="A34" t="str">
        <f t="array" ref="A34:J34">[1]!'6196.TW-Name,Bid,Ask,Price,PriceChange,PriceChangeRatio,Volume,TotalVolume,BestBidSize,BestAskSize'</f>
        <v>帆宣</v>
      </c>
      <c r="B34">
        <v>394.5</v>
      </c>
      <c r="C34" t="str">
        <v>--</v>
      </c>
      <c r="D34">
        <v>394.5</v>
      </c>
      <c r="E34">
        <v>35.5</v>
      </c>
      <c r="F34">
        <v>9.89</v>
      </c>
      <c r="G34">
        <v>44</v>
      </c>
      <c r="H34">
        <v>2902</v>
      </c>
      <c r="I34">
        <v>453</v>
      </c>
      <c r="J34">
        <v>0</v>
      </c>
      <c r="K34">
        <f t="array" ref="K34:P34">[1]!'6196.TW-PreClose,InOutRatio,AvgPrice,Capital,Profit,MarketValue'</f>
        <v>359</v>
      </c>
      <c r="L34">
        <v>72.010000000000005</v>
      </c>
      <c r="M34">
        <v>389.04</v>
      </c>
      <c r="N34">
        <v>22.03</v>
      </c>
      <c r="O34">
        <v>3.68</v>
      </c>
      <c r="P34">
        <v>862.3</v>
      </c>
    </row>
    <row r="35" spans="1:16" x14ac:dyDescent="0.25">
      <c r="A35" t="str">
        <f t="array" ref="A35:J35">[1]!'3450.TW-Name,Bid,Ask,Price,PriceChange,PriceChangeRatio,Volume,TotalVolume,BestBidSize,BestAskSize'</f>
        <v>聯鈞</v>
      </c>
      <c r="B35">
        <v>383</v>
      </c>
      <c r="C35">
        <v>383.5</v>
      </c>
      <c r="D35">
        <v>383</v>
      </c>
      <c r="E35">
        <v>17</v>
      </c>
      <c r="F35">
        <v>4.6399999999999997</v>
      </c>
      <c r="G35">
        <v>1054</v>
      </c>
      <c r="H35">
        <v>38212</v>
      </c>
      <c r="I35">
        <v>53</v>
      </c>
      <c r="J35">
        <v>29</v>
      </c>
      <c r="K35">
        <f t="array" ref="K35:P35">[1]!'3450.TW-PreClose,InOutRatio,AvgPrice,Capital,Profit,MarketValue'</f>
        <v>366</v>
      </c>
      <c r="L35">
        <v>47.78</v>
      </c>
      <c r="M35">
        <v>380.44</v>
      </c>
      <c r="N35">
        <v>14.57</v>
      </c>
      <c r="O35">
        <v>1.53</v>
      </c>
      <c r="P35">
        <v>558</v>
      </c>
    </row>
    <row r="36" spans="1:16" x14ac:dyDescent="0.25">
      <c r="A36" t="str">
        <f t="array" ref="A36:J36">[1]!'3587.TW-Name,Bid,Ask,Price,PriceChange,PriceChangeRatio,Volume,TotalVolume,BestBidSize,BestAskSize'</f>
        <v>閎康</v>
      </c>
      <c r="B36">
        <v>369</v>
      </c>
      <c r="C36">
        <v>369.5</v>
      </c>
      <c r="D36">
        <v>369</v>
      </c>
      <c r="E36">
        <v>2</v>
      </c>
      <c r="F36">
        <v>0.54</v>
      </c>
      <c r="G36">
        <v>318</v>
      </c>
      <c r="H36">
        <v>8714</v>
      </c>
      <c r="I36">
        <v>16</v>
      </c>
      <c r="J36">
        <v>10</v>
      </c>
      <c r="K36">
        <f t="array" ref="K36:P36">[1]!'3587.TW-PreClose,InOutRatio,AvgPrice,Capital,Profit,MarketValue'</f>
        <v>367</v>
      </c>
      <c r="L36">
        <v>49.81</v>
      </c>
      <c r="M36">
        <v>366.36</v>
      </c>
      <c r="N36">
        <v>6.94</v>
      </c>
      <c r="O36">
        <v>1.84</v>
      </c>
      <c r="P36">
        <v>254.3</v>
      </c>
    </row>
    <row r="37" spans="1:16" x14ac:dyDescent="0.25">
      <c r="A37" t="str">
        <f t="array" ref="A37:J37">[1]!'6415.TW-Name,Bid,Ask,Price,PriceChange,PriceChangeRatio,Volume,TotalVolume,BestBidSize,BestAskSize'</f>
        <v>矽力*-KY</v>
      </c>
      <c r="B37">
        <v>365.5</v>
      </c>
      <c r="C37" t="str">
        <v>--</v>
      </c>
      <c r="D37">
        <v>365.5</v>
      </c>
      <c r="E37">
        <v>33</v>
      </c>
      <c r="F37">
        <v>9.92</v>
      </c>
      <c r="G37">
        <v>14</v>
      </c>
      <c r="H37">
        <v>5678</v>
      </c>
      <c r="I37">
        <v>2984</v>
      </c>
      <c r="J37">
        <v>0</v>
      </c>
      <c r="K37">
        <f t="array" ref="K37:P37">[1]!'6415.TW-PreClose,InOutRatio,AvgPrice,Capital,Profit,MarketValue'</f>
        <v>332.5</v>
      </c>
      <c r="L37">
        <v>94.01</v>
      </c>
      <c r="M37">
        <v>364.25</v>
      </c>
      <c r="N37">
        <v>9.7200000000000006</v>
      </c>
      <c r="O37">
        <v>2.09</v>
      </c>
      <c r="P37">
        <v>1420.5</v>
      </c>
    </row>
    <row r="38" spans="1:16" x14ac:dyDescent="0.25">
      <c r="A38" t="str">
        <f t="array" ref="A38:J38">[1]!'3030.TW-Name,Bid,Ask,Price,PriceChange,PriceChangeRatio,Volume,TotalVolume,BestBidSize,BestAskSize'</f>
        <v>德律</v>
      </c>
      <c r="B38">
        <v>342</v>
      </c>
      <c r="C38">
        <v>342.5</v>
      </c>
      <c r="D38">
        <v>342</v>
      </c>
      <c r="E38">
        <v>3.5</v>
      </c>
      <c r="F38">
        <v>1.03</v>
      </c>
      <c r="G38">
        <v>400</v>
      </c>
      <c r="H38">
        <v>11102</v>
      </c>
      <c r="I38">
        <v>23</v>
      </c>
      <c r="J38">
        <v>3</v>
      </c>
      <c r="K38">
        <f t="array" ref="K38:P38">[1]!'3030.TW-PreClose,InOutRatio,AvgPrice,Capital,Profit,MarketValue'</f>
        <v>338.5</v>
      </c>
      <c r="L38">
        <v>47.28</v>
      </c>
      <c r="M38">
        <v>345.27</v>
      </c>
      <c r="N38">
        <v>23.62</v>
      </c>
      <c r="O38">
        <v>2.9</v>
      </c>
      <c r="P38">
        <v>807.9</v>
      </c>
    </row>
    <row r="39" spans="1:16" x14ac:dyDescent="0.25">
      <c r="A39" t="str">
        <f t="array" ref="A39:J39">[1]!'2455.TW-Name,Bid,Ask,Price,PriceChange,PriceChangeRatio,Volume,TotalVolume,BestBidSize,BestAskSize'</f>
        <v>全新</v>
      </c>
      <c r="B39">
        <v>332</v>
      </c>
      <c r="C39">
        <v>333</v>
      </c>
      <c r="D39">
        <v>333</v>
      </c>
      <c r="E39">
        <v>22.5</v>
      </c>
      <c r="F39">
        <v>7.25</v>
      </c>
      <c r="G39">
        <v>120</v>
      </c>
      <c r="H39">
        <v>2797</v>
      </c>
      <c r="I39">
        <v>7</v>
      </c>
      <c r="J39">
        <v>8</v>
      </c>
      <c r="K39">
        <f t="array" ref="K39:P39">[1]!'2455.TW-PreClose,InOutRatio,AvgPrice,Capital,Profit,MarketValue'</f>
        <v>310.5</v>
      </c>
      <c r="L39">
        <v>35.65</v>
      </c>
      <c r="M39">
        <v>328.32</v>
      </c>
      <c r="N39">
        <v>18.489999999999998</v>
      </c>
      <c r="O39">
        <v>1.05</v>
      </c>
      <c r="P39">
        <v>615.70000000000005</v>
      </c>
    </row>
    <row r="40" spans="1:16" x14ac:dyDescent="0.25">
      <c r="A40" t="str">
        <f t="array" ref="A40:J40">[1]!'4958.TW-Name,Bid,Ask,Price,PriceChange,PriceChangeRatio,Volume,TotalVolume,BestBidSize,BestAskSize'</f>
        <v>臻鼎-KY</v>
      </c>
      <c r="B40">
        <v>310</v>
      </c>
      <c r="C40" t="str">
        <v>--</v>
      </c>
      <c r="D40">
        <v>310</v>
      </c>
      <c r="E40">
        <v>28</v>
      </c>
      <c r="F40">
        <v>9.93</v>
      </c>
      <c r="G40">
        <v>62</v>
      </c>
      <c r="H40">
        <v>46464</v>
      </c>
      <c r="I40">
        <v>24515</v>
      </c>
      <c r="J40">
        <v>0</v>
      </c>
      <c r="K40">
        <f t="array" ref="K40:P40">[1]!'4958.TW-PreClose,InOutRatio,AvgPrice,Capital,Profit,MarketValue'</f>
        <v>282</v>
      </c>
      <c r="L40">
        <v>60.55</v>
      </c>
      <c r="M40">
        <v>299.95999999999998</v>
      </c>
      <c r="N40">
        <v>107.06</v>
      </c>
      <c r="O40">
        <v>3.22</v>
      </c>
      <c r="P40">
        <v>3318.8</v>
      </c>
    </row>
    <row r="41" spans="1:16" x14ac:dyDescent="0.25">
      <c r="A41" t="str">
        <f t="array" ref="A41:J41">[1]!'2049.TW-Name,Bid,Ask,Price,PriceChange,PriceChangeRatio,Volume,TotalVolume,BestBidSize,BestAskSize'</f>
        <v>上銀</v>
      </c>
      <c r="B41">
        <v>293.5</v>
      </c>
      <c r="C41">
        <v>294</v>
      </c>
      <c r="D41">
        <v>293.5</v>
      </c>
      <c r="E41">
        <v>2.5</v>
      </c>
      <c r="F41">
        <v>0.86</v>
      </c>
      <c r="G41">
        <v>290</v>
      </c>
      <c r="H41">
        <v>9857</v>
      </c>
      <c r="I41">
        <v>12</v>
      </c>
      <c r="J41">
        <v>27</v>
      </c>
      <c r="K41">
        <f t="array" ref="K41:P41">[1]!'2049.TW-PreClose,InOutRatio,AvgPrice,Capital,Profit,MarketValue'</f>
        <v>291</v>
      </c>
      <c r="L41">
        <v>47.67</v>
      </c>
      <c r="M41">
        <v>295.99</v>
      </c>
      <c r="N41">
        <v>35.380000000000003</v>
      </c>
      <c r="O41">
        <v>1.31</v>
      </c>
      <c r="P41">
        <v>1038.4000000000001</v>
      </c>
    </row>
    <row r="42" spans="1:16" x14ac:dyDescent="0.25">
      <c r="A42" t="str">
        <f t="array" ref="A42:J42">[1]!'6213.TW-Name,Bid,Ask,Price,PriceChange,PriceChangeRatio,Volume,TotalVolume,BestBidSize,BestAskSize'</f>
        <v>聯茂</v>
      </c>
      <c r="B42">
        <v>282</v>
      </c>
      <c r="C42">
        <v>282.5</v>
      </c>
      <c r="D42">
        <v>282</v>
      </c>
      <c r="E42">
        <v>11.5</v>
      </c>
      <c r="F42">
        <v>4.25</v>
      </c>
      <c r="G42">
        <v>1180</v>
      </c>
      <c r="H42">
        <v>55348</v>
      </c>
      <c r="I42">
        <v>93</v>
      </c>
      <c r="J42">
        <v>101</v>
      </c>
      <c r="K42">
        <f t="array" ref="K42:P42">[1]!'6213.TW-PreClose,InOutRatio,AvgPrice,Capital,Profit,MarketValue'</f>
        <v>270.5</v>
      </c>
      <c r="L42">
        <v>50.18</v>
      </c>
      <c r="M42">
        <v>279.27999999999997</v>
      </c>
      <c r="N42">
        <v>36.35</v>
      </c>
      <c r="O42">
        <v>1.18</v>
      </c>
      <c r="P42">
        <v>1024.8</v>
      </c>
    </row>
    <row r="43" spans="1:16" x14ac:dyDescent="0.25">
      <c r="A43" t="str">
        <f t="array" ref="A43:J43">[1]!'6217.TW-Name,Bid,Ask,Price,PriceChange,PriceChangeRatio,Volume,TotalVolume,BestBidSize,BestAskSize'</f>
        <v>中探針</v>
      </c>
      <c r="B43">
        <v>268</v>
      </c>
      <c r="C43" t="str">
        <v>--</v>
      </c>
      <c r="D43">
        <v>268</v>
      </c>
      <c r="E43">
        <v>24</v>
      </c>
      <c r="F43">
        <v>9.84</v>
      </c>
      <c r="G43">
        <v>9</v>
      </c>
      <c r="H43">
        <v>2106</v>
      </c>
      <c r="I43">
        <v>413</v>
      </c>
      <c r="J43">
        <v>0</v>
      </c>
      <c r="K43">
        <f t="array" ref="K43:P43">[1]!'6217.TW-PreClose,InOutRatio,AvgPrice,Capital,Profit,MarketValue'</f>
        <v>244</v>
      </c>
      <c r="L43">
        <v>100</v>
      </c>
      <c r="M43">
        <v>263.83999999999997</v>
      </c>
      <c r="N43">
        <v>11.72</v>
      </c>
      <c r="O43">
        <v>-0.34</v>
      </c>
      <c r="P43">
        <v>314.10000000000002</v>
      </c>
    </row>
    <row r="44" spans="1:16" x14ac:dyDescent="0.25">
      <c r="A44" t="str">
        <f t="array" ref="A44:J44">[1]!'3555.TW-Name,Bid,Ask,Price,PriceChange,PriceChangeRatio,Volume,TotalVolume,BestBidSize,BestAskSize'</f>
        <v>博士旺</v>
      </c>
      <c r="B44">
        <v>260.5</v>
      </c>
      <c r="C44">
        <v>261.5</v>
      </c>
      <c r="D44">
        <v>260.5</v>
      </c>
      <c r="E44">
        <v>0.5</v>
      </c>
      <c r="F44">
        <v>0.19</v>
      </c>
      <c r="G44">
        <v>70</v>
      </c>
      <c r="H44">
        <v>1373</v>
      </c>
      <c r="I44">
        <v>6</v>
      </c>
      <c r="J44">
        <v>2</v>
      </c>
      <c r="K44">
        <f t="array" ref="K44:P44">[1]!'3555.TW-PreClose,InOutRatio,AvgPrice,Capital,Profit,MarketValue'</f>
        <v>260</v>
      </c>
      <c r="L44">
        <v>33.840000000000003</v>
      </c>
      <c r="M44">
        <v>268.73</v>
      </c>
      <c r="N44">
        <v>4</v>
      </c>
      <c r="O44">
        <v>1.83</v>
      </c>
      <c r="P44">
        <v>104.2</v>
      </c>
    </row>
    <row r="45" spans="1:16" x14ac:dyDescent="0.25">
      <c r="A45" t="str">
        <f t="array" ref="A45:J45">[1]!'6290.TW-Name,Bid,Ask,Price,PriceChange,PriceChangeRatio,Volume,TotalVolume,BestBidSize,BestAskSize'</f>
        <v>良維</v>
      </c>
      <c r="B45">
        <v>258.5</v>
      </c>
      <c r="C45" t="str">
        <v>--</v>
      </c>
      <c r="D45">
        <v>258.5</v>
      </c>
      <c r="E45">
        <v>23.5</v>
      </c>
      <c r="F45">
        <v>10</v>
      </c>
      <c r="G45">
        <v>11</v>
      </c>
      <c r="H45">
        <v>7241</v>
      </c>
      <c r="I45">
        <v>13318</v>
      </c>
      <c r="J45">
        <v>0</v>
      </c>
      <c r="K45">
        <f t="array" ref="K45:P45">[1]!'6290.TW-PreClose,InOutRatio,AvgPrice,Capital,Profit,MarketValue'</f>
        <v>235</v>
      </c>
      <c r="L45">
        <v>76.61</v>
      </c>
      <c r="M45">
        <v>253.66</v>
      </c>
      <c r="N45">
        <v>16.95</v>
      </c>
      <c r="O45">
        <v>2.6</v>
      </c>
      <c r="P45">
        <v>438</v>
      </c>
    </row>
    <row r="46" spans="1:16" x14ac:dyDescent="0.25">
      <c r="A46" t="str">
        <f t="array" ref="A46:J46">[1]!'6426.TW-Name,Bid,Ask,Price,PriceChange,PriceChangeRatio,Volume,TotalVolume,BestBidSize,BestAskSize'</f>
        <v>統新</v>
      </c>
      <c r="B46">
        <v>249.5</v>
      </c>
      <c r="C46" t="str">
        <v>--</v>
      </c>
      <c r="D46">
        <v>249.5</v>
      </c>
      <c r="E46">
        <v>22.5</v>
      </c>
      <c r="F46">
        <v>9.91</v>
      </c>
      <c r="G46">
        <v>15</v>
      </c>
      <c r="H46">
        <v>2045</v>
      </c>
      <c r="I46">
        <v>243</v>
      </c>
      <c r="J46">
        <v>0</v>
      </c>
      <c r="K46">
        <f t="array" ref="K46:P46">[1]!'6426.TW-PreClose,InOutRatio,AvgPrice,Capital,Profit,MarketValue'</f>
        <v>227</v>
      </c>
      <c r="L46">
        <v>95.98</v>
      </c>
      <c r="M46">
        <v>249.34</v>
      </c>
      <c r="N46">
        <v>3.85</v>
      </c>
      <c r="O46">
        <v>0.3</v>
      </c>
      <c r="P46">
        <v>96.1</v>
      </c>
    </row>
    <row r="47" spans="1:16" x14ac:dyDescent="0.25">
      <c r="A47" t="str">
        <f t="array" ref="A47:J47">[1]!'4977.TW-Name,Bid,Ask,Price,PriceChange,PriceChangeRatio,Volume,TotalVolume,BestBidSize,BestAskSize'</f>
        <v>眾達-KY</v>
      </c>
      <c r="B47">
        <v>241.5</v>
      </c>
      <c r="C47">
        <v>242</v>
      </c>
      <c r="D47">
        <v>241.5</v>
      </c>
      <c r="E47">
        <v>6</v>
      </c>
      <c r="F47">
        <v>2.5499999999999998</v>
      </c>
      <c r="G47">
        <v>733</v>
      </c>
      <c r="H47">
        <v>32468</v>
      </c>
      <c r="I47">
        <v>323</v>
      </c>
      <c r="J47">
        <v>60</v>
      </c>
      <c r="K47">
        <f t="array" ref="K47:P47">[1]!'4977.TW-PreClose,InOutRatio,AvgPrice,Capital,Profit,MarketValue'</f>
        <v>235.5</v>
      </c>
      <c r="L47">
        <v>44.38</v>
      </c>
      <c r="M47">
        <v>242.49</v>
      </c>
      <c r="N47">
        <v>8.02</v>
      </c>
      <c r="O47">
        <v>0.95</v>
      </c>
      <c r="P47">
        <v>193.7</v>
      </c>
    </row>
    <row r="48" spans="1:16" x14ac:dyDescent="0.25">
      <c r="A48" t="str">
        <f t="array" ref="A48:J48">[1]!'6533.TW-Name,Bid,Ask,Price,PriceChange,PriceChangeRatio,Volume,TotalVolume,BestBidSize,BestAskSize'</f>
        <v>晶心科</v>
      </c>
      <c r="B48">
        <v>235</v>
      </c>
      <c r="C48">
        <v>235.5</v>
      </c>
      <c r="D48">
        <v>235</v>
      </c>
      <c r="E48">
        <v>0</v>
      </c>
      <c r="F48">
        <v>0</v>
      </c>
      <c r="G48">
        <v>92</v>
      </c>
      <c r="H48">
        <v>2255</v>
      </c>
      <c r="I48">
        <v>29</v>
      </c>
      <c r="J48">
        <v>6</v>
      </c>
      <c r="K48">
        <f t="array" ref="K48:P48">[1]!'6533.TW-PreClose,InOutRatio,AvgPrice,Capital,Profit,MarketValue'</f>
        <v>235</v>
      </c>
      <c r="L48">
        <v>47.05</v>
      </c>
      <c r="M48">
        <v>236.7</v>
      </c>
      <c r="N48">
        <v>5.07</v>
      </c>
      <c r="O48">
        <v>-0.52</v>
      </c>
      <c r="P48">
        <v>119</v>
      </c>
    </row>
    <row r="49" spans="1:16" x14ac:dyDescent="0.25">
      <c r="A49" t="str">
        <f t="array" ref="A49:J49">[1]!'4764.TW-Name,Bid,Ask,Price,PriceChange,PriceChangeRatio,Volume,TotalVolume,BestBidSize,BestAskSize'</f>
        <v>雙鍵</v>
      </c>
      <c r="B49">
        <v>233.5</v>
      </c>
      <c r="C49" t="str">
        <v>--</v>
      </c>
      <c r="D49">
        <v>233.5</v>
      </c>
      <c r="E49">
        <v>21</v>
      </c>
      <c r="F49">
        <v>9.8800000000000008</v>
      </c>
      <c r="G49">
        <v>15</v>
      </c>
      <c r="H49">
        <v>837</v>
      </c>
      <c r="I49">
        <v>476</v>
      </c>
      <c r="J49">
        <v>0</v>
      </c>
      <c r="K49">
        <f t="array" ref="K49:P49">[1]!'4764.TW-PreClose,InOutRatio,AvgPrice,Capital,Profit,MarketValue'</f>
        <v>212.5</v>
      </c>
      <c r="L49">
        <v>100</v>
      </c>
      <c r="M49">
        <v>233.5</v>
      </c>
      <c r="N49">
        <v>8.5500000000000007</v>
      </c>
      <c r="O49">
        <v>0.61</v>
      </c>
      <c r="P49">
        <v>199.7</v>
      </c>
    </row>
    <row r="50" spans="1:16" x14ac:dyDescent="0.25">
      <c r="A50" t="str">
        <f t="array" ref="A50:J50">[1]!'6829.TW-Name,Bid,Ask,Price,PriceChange,PriceChangeRatio,Volume,TotalVolume,BestBidSize,BestAskSize'</f>
        <v>千附精密</v>
      </c>
      <c r="B50">
        <v>216.5</v>
      </c>
      <c r="C50" t="str">
        <v>--</v>
      </c>
      <c r="D50">
        <v>216.5</v>
      </c>
      <c r="E50">
        <v>19.5</v>
      </c>
      <c r="F50">
        <v>9.9</v>
      </c>
      <c r="G50">
        <v>1</v>
      </c>
      <c r="H50">
        <v>743</v>
      </c>
      <c r="I50">
        <v>458</v>
      </c>
      <c r="J50">
        <v>0</v>
      </c>
      <c r="K50">
        <f t="array" ref="K50:P50">[1]!'6829.TW-PreClose,InOutRatio,AvgPrice,Capital,Profit,MarketValue'</f>
        <v>197</v>
      </c>
      <c r="L50">
        <v>79.27</v>
      </c>
      <c r="M50">
        <v>215.42</v>
      </c>
      <c r="N50">
        <v>5.92</v>
      </c>
      <c r="O50">
        <v>1.31</v>
      </c>
      <c r="P50">
        <v>128.1</v>
      </c>
    </row>
    <row r="51" spans="1:16" x14ac:dyDescent="0.25">
      <c r="A51" t="str">
        <f t="array" ref="A51:J51">[1]!'3455.TW-Name,Bid,Ask,Price,PriceChange,PriceChangeRatio,Volume,TotalVolume,BestBidSize,BestAskSize'</f>
        <v>由田</v>
      </c>
      <c r="B51">
        <v>211.5</v>
      </c>
      <c r="C51" t="str">
        <v>--</v>
      </c>
      <c r="D51">
        <v>211.5</v>
      </c>
      <c r="E51">
        <v>19</v>
      </c>
      <c r="F51">
        <v>9.8699999999999992</v>
      </c>
      <c r="G51">
        <v>33</v>
      </c>
      <c r="H51">
        <v>2083</v>
      </c>
      <c r="I51">
        <v>1322</v>
      </c>
      <c r="J51">
        <v>0</v>
      </c>
      <c r="K51">
        <f t="array" ref="K51:P51">[1]!'3455.TW-PreClose,InOutRatio,AvgPrice,Capital,Profit,MarketValue'</f>
        <v>192.5</v>
      </c>
      <c r="L51">
        <v>60.88</v>
      </c>
      <c r="M51">
        <v>206.11</v>
      </c>
      <c r="N51">
        <v>5.99</v>
      </c>
      <c r="O51">
        <v>1.31</v>
      </c>
      <c r="P51">
        <v>126.6</v>
      </c>
    </row>
    <row r="52" spans="1:16" x14ac:dyDescent="0.25">
      <c r="A52" t="str">
        <f t="array" ref="A52:J52">[1]!'2474.TW-Name,Bid,Ask,Price,PriceChange,PriceChangeRatio,Volume,TotalVolume,BestBidSize,BestAskSize'</f>
        <v>可成</v>
      </c>
      <c r="B52">
        <v>206.5</v>
      </c>
      <c r="C52">
        <v>207</v>
      </c>
      <c r="D52">
        <v>206.5</v>
      </c>
      <c r="E52">
        <v>-10.5</v>
      </c>
      <c r="F52">
        <v>-4.84</v>
      </c>
      <c r="G52">
        <v>509</v>
      </c>
      <c r="H52">
        <v>8472</v>
      </c>
      <c r="I52">
        <v>86</v>
      </c>
      <c r="J52">
        <v>38</v>
      </c>
      <c r="K52">
        <f t="array" ref="K52:P52">[1]!'2474.TW-PreClose,InOutRatio,AvgPrice,Capital,Profit,MarketValue'</f>
        <v>217</v>
      </c>
      <c r="L52">
        <v>37.75</v>
      </c>
      <c r="M52">
        <v>207.68</v>
      </c>
      <c r="N52">
        <v>56.14</v>
      </c>
      <c r="O52">
        <v>3.77</v>
      </c>
      <c r="P52">
        <v>1222.8</v>
      </c>
    </row>
    <row r="53" spans="1:16" x14ac:dyDescent="0.25">
      <c r="A53" t="str">
        <f t="array" ref="A53:J53">[1]!'3675.TW-Name,Bid,Ask,Price,PriceChange,PriceChangeRatio,Volume,TotalVolume,BestBidSize,BestAskSize'</f>
        <v>德微</v>
      </c>
      <c r="B53">
        <v>203.5</v>
      </c>
      <c r="C53">
        <v>204</v>
      </c>
      <c r="D53">
        <v>203.5</v>
      </c>
      <c r="E53">
        <v>-2.5</v>
      </c>
      <c r="F53">
        <v>-1.21</v>
      </c>
      <c r="G53">
        <v>40</v>
      </c>
      <c r="H53">
        <v>992</v>
      </c>
      <c r="I53">
        <v>5</v>
      </c>
      <c r="J53">
        <v>1</v>
      </c>
      <c r="K53">
        <f t="array" ref="K53:P53">[1]!'3675.TW-PreClose,InOutRatio,AvgPrice,Capital,Profit,MarketValue'</f>
        <v>206</v>
      </c>
      <c r="L53">
        <v>41.24</v>
      </c>
      <c r="M53">
        <v>204.87</v>
      </c>
      <c r="N53">
        <v>5.31</v>
      </c>
      <c r="O53">
        <v>1.1399999999999999</v>
      </c>
      <c r="P53">
        <v>108</v>
      </c>
    </row>
    <row r="54" spans="1:16" x14ac:dyDescent="0.25">
      <c r="A54" t="str">
        <f t="array" ref="A54:J54">[1]!'4576.TW-Name,Bid,Ask,Price,PriceChange,PriceChangeRatio,Volume,TotalVolume,BestBidSize,BestAskSize'</f>
        <v>大銀微系統</v>
      </c>
      <c r="B54">
        <v>198</v>
      </c>
      <c r="C54">
        <v>198.5</v>
      </c>
      <c r="D54">
        <v>198</v>
      </c>
      <c r="E54">
        <v>2</v>
      </c>
      <c r="F54">
        <v>1.02</v>
      </c>
      <c r="G54">
        <v>73</v>
      </c>
      <c r="H54">
        <v>1640</v>
      </c>
      <c r="I54">
        <v>2</v>
      </c>
      <c r="J54">
        <v>5</v>
      </c>
      <c r="K54">
        <f t="array" ref="K54:P54">[1]!'4576.TW-PreClose,InOutRatio,AvgPrice,Capital,Profit,MarketValue'</f>
        <v>196</v>
      </c>
      <c r="L54">
        <v>20.84</v>
      </c>
      <c r="M54">
        <v>198.62</v>
      </c>
      <c r="N54">
        <v>11.98</v>
      </c>
      <c r="O54">
        <v>0.75</v>
      </c>
      <c r="P54">
        <v>237.2</v>
      </c>
    </row>
    <row r="55" spans="1:16" x14ac:dyDescent="0.25">
      <c r="A55" t="str">
        <f t="array" ref="A55:J55">[1]!'6933.TW-Name,Bid,Ask,Price,PriceChange,PriceChangeRatio,Volume,TotalVolume,BestBidSize,BestAskSize'</f>
        <v>AMAX-KY</v>
      </c>
      <c r="B55">
        <v>194.5</v>
      </c>
      <c r="C55">
        <v>195</v>
      </c>
      <c r="D55">
        <v>194.5</v>
      </c>
      <c r="E55">
        <v>-1.5</v>
      </c>
      <c r="F55">
        <v>-0.77</v>
      </c>
      <c r="G55">
        <v>46</v>
      </c>
      <c r="H55">
        <v>1357</v>
      </c>
      <c r="I55">
        <v>1</v>
      </c>
      <c r="J55">
        <v>1</v>
      </c>
      <c r="K55">
        <f t="array" ref="K55:P55">[1]!'6933.TW-PreClose,InOutRatio,AvgPrice,Capital,Profit,MarketValue'</f>
        <v>196</v>
      </c>
      <c r="L55">
        <v>39.11</v>
      </c>
      <c r="M55">
        <v>198.68</v>
      </c>
      <c r="N55">
        <v>4.24</v>
      </c>
      <c r="O55">
        <v>1.36</v>
      </c>
      <c r="P55">
        <v>82.4</v>
      </c>
    </row>
    <row r="56" spans="1:16" x14ac:dyDescent="0.25">
      <c r="A56" t="str">
        <f t="array" ref="A56:J56">[1]!'3715.TW-Name,Bid,Ask,Price,PriceChange,PriceChangeRatio,Volume,TotalVolume,BestBidSize,BestAskSize'</f>
        <v>定穎投控</v>
      </c>
      <c r="B56">
        <v>190.5</v>
      </c>
      <c r="C56">
        <v>191</v>
      </c>
      <c r="D56">
        <v>190.5</v>
      </c>
      <c r="E56">
        <v>-7.5</v>
      </c>
      <c r="F56">
        <v>-3.79</v>
      </c>
      <c r="G56">
        <v>2359</v>
      </c>
      <c r="H56">
        <v>34604</v>
      </c>
      <c r="I56">
        <v>166</v>
      </c>
      <c r="J56">
        <v>70</v>
      </c>
      <c r="K56">
        <f t="array" ref="K56:P56">[1]!'3715.TW-PreClose,InOutRatio,AvgPrice,Capital,Profit,MarketValue'</f>
        <v>198</v>
      </c>
      <c r="L56">
        <v>36.369999999999997</v>
      </c>
      <c r="M56">
        <v>193.76</v>
      </c>
      <c r="N56">
        <v>28.36</v>
      </c>
      <c r="O56">
        <v>0.3</v>
      </c>
      <c r="P56">
        <v>540.20000000000005</v>
      </c>
    </row>
    <row r="57" spans="1:16" x14ac:dyDescent="0.25">
      <c r="A57" t="str">
        <f t="array" ref="A57:J57">[1]!'6197.TW-Name,Bid,Ask,Price,PriceChange,PriceChangeRatio,Volume,TotalVolume,BestBidSize,BestAskSize'</f>
        <v>佳必琪</v>
      </c>
      <c r="B57">
        <v>189</v>
      </c>
      <c r="C57">
        <v>189.5</v>
      </c>
      <c r="D57">
        <v>189</v>
      </c>
      <c r="E57">
        <v>3.5</v>
      </c>
      <c r="F57">
        <v>1.89</v>
      </c>
      <c r="G57">
        <v>198</v>
      </c>
      <c r="H57">
        <v>4559</v>
      </c>
      <c r="I57">
        <v>88</v>
      </c>
      <c r="J57">
        <v>38</v>
      </c>
      <c r="K57">
        <f t="array" ref="K57:P57">[1]!'6197.TW-PreClose,InOutRatio,AvgPrice,Capital,Profit,MarketValue'</f>
        <v>185.5</v>
      </c>
      <c r="L57">
        <v>53.32</v>
      </c>
      <c r="M57">
        <v>187.69</v>
      </c>
      <c r="N57">
        <v>12.21</v>
      </c>
      <c r="O57">
        <v>2.57</v>
      </c>
      <c r="P57">
        <v>230.7</v>
      </c>
    </row>
    <row r="58" spans="1:16" x14ac:dyDescent="0.25">
      <c r="A58" t="str">
        <f t="array" ref="A58:J58">[1]!'6672.TW-Name,Bid,Ask,Price,PriceChange,PriceChangeRatio,Volume,TotalVolume,BestBidSize,BestAskSize'</f>
        <v>騰輝電子-KY</v>
      </c>
      <c r="B58">
        <v>187</v>
      </c>
      <c r="C58">
        <v>187.5</v>
      </c>
      <c r="D58">
        <v>187</v>
      </c>
      <c r="E58">
        <v>11</v>
      </c>
      <c r="F58">
        <v>6.25</v>
      </c>
      <c r="G58">
        <v>361</v>
      </c>
      <c r="H58">
        <v>14263</v>
      </c>
      <c r="I58">
        <v>13</v>
      </c>
      <c r="J58">
        <v>33</v>
      </c>
      <c r="K58">
        <f t="array" ref="K58:P58">[1]!'6672.TW-PreClose,InOutRatio,AvgPrice,Capital,Profit,MarketValue'</f>
        <v>176</v>
      </c>
      <c r="L58">
        <v>44.35</v>
      </c>
      <c r="M58">
        <v>186.22</v>
      </c>
      <c r="N58">
        <v>7.14</v>
      </c>
      <c r="O58">
        <v>1.38</v>
      </c>
      <c r="P58">
        <v>133.6</v>
      </c>
    </row>
    <row r="59" spans="1:16" x14ac:dyDescent="0.25">
      <c r="A59" t="str">
        <f t="array" ref="A59:J59">[1]!'2472.TW-Name,Bid,Ask,Price,PriceChange,PriceChangeRatio,Volume,TotalVolume,BestBidSize,BestAskSize'</f>
        <v>立隆電</v>
      </c>
      <c r="B59">
        <v>183</v>
      </c>
      <c r="C59">
        <v>183.5</v>
      </c>
      <c r="D59">
        <v>183</v>
      </c>
      <c r="E59">
        <v>-1.5</v>
      </c>
      <c r="F59">
        <v>-0.81</v>
      </c>
      <c r="G59">
        <v>175</v>
      </c>
      <c r="H59">
        <v>3708</v>
      </c>
      <c r="I59">
        <v>16</v>
      </c>
      <c r="J59">
        <v>48</v>
      </c>
      <c r="K59">
        <f t="array" ref="K59:P59">[1]!'2472.TW-PreClose,InOutRatio,AvgPrice,Capital,Profit,MarketValue'</f>
        <v>184.5</v>
      </c>
      <c r="L59">
        <v>41.3</v>
      </c>
      <c r="M59">
        <v>184.7</v>
      </c>
      <c r="N59">
        <v>16.47</v>
      </c>
      <c r="O59">
        <v>3.54</v>
      </c>
      <c r="P59">
        <v>301.5</v>
      </c>
    </row>
    <row r="60" spans="1:16" x14ac:dyDescent="0.25">
      <c r="A60" t="str">
        <f t="array" ref="A60:J60">[1]!'3357.TW-Name,Bid,Ask,Price,PriceChange,PriceChangeRatio,Volume,TotalVolume,BestBidSize,BestAskSize'</f>
        <v>臺慶科</v>
      </c>
      <c r="B60">
        <v>182.5</v>
      </c>
      <c r="C60">
        <v>183</v>
      </c>
      <c r="D60">
        <v>182.5</v>
      </c>
      <c r="E60">
        <v>1.5</v>
      </c>
      <c r="F60">
        <v>0.83</v>
      </c>
      <c r="G60">
        <v>112</v>
      </c>
      <c r="H60">
        <v>3839</v>
      </c>
      <c r="I60">
        <v>9</v>
      </c>
      <c r="J60">
        <v>38</v>
      </c>
      <c r="K60">
        <f t="array" ref="K60:P60">[1]!'3357.TW-PreClose,InOutRatio,AvgPrice,Capital,Profit,MarketValue'</f>
        <v>181</v>
      </c>
      <c r="L60">
        <v>47.55</v>
      </c>
      <c r="M60">
        <v>183.21</v>
      </c>
      <c r="N60">
        <v>11.49</v>
      </c>
      <c r="O60">
        <v>2.48</v>
      </c>
      <c r="P60">
        <v>207.7</v>
      </c>
    </row>
    <row r="61" spans="1:16" x14ac:dyDescent="0.25">
      <c r="A61" t="str">
        <f t="array" ref="A61:J61">[1]!'3138.TW-Name,Bid,Ask,Price,PriceChange,PriceChangeRatio,Volume,TotalVolume,BestBidSize,BestAskSize'</f>
        <v>耀登</v>
      </c>
      <c r="B61">
        <v>180</v>
      </c>
      <c r="C61">
        <v>180.5</v>
      </c>
      <c r="D61">
        <v>180</v>
      </c>
      <c r="E61">
        <v>-4</v>
      </c>
      <c r="F61">
        <v>-2.17</v>
      </c>
      <c r="G61">
        <v>108</v>
      </c>
      <c r="H61">
        <v>2347</v>
      </c>
      <c r="I61">
        <v>42</v>
      </c>
      <c r="J61">
        <v>22</v>
      </c>
      <c r="K61">
        <f t="array" ref="K61:P61">[1]!'3138.TW-PreClose,InOutRatio,AvgPrice,Capital,Profit,MarketValue'</f>
        <v>184</v>
      </c>
      <c r="L61">
        <v>30.38</v>
      </c>
      <c r="M61">
        <v>182.16</v>
      </c>
      <c r="N61">
        <v>5.62</v>
      </c>
      <c r="O61">
        <v>1.1299999999999999</v>
      </c>
      <c r="P61">
        <v>90.6</v>
      </c>
    </row>
    <row r="62" spans="1:16" x14ac:dyDescent="0.25">
      <c r="A62" t="str">
        <f t="array" ref="A62:J62">[1]!'6861.TW-Name,Bid,Ask,Price,PriceChange,PriceChangeRatio,Volume,TotalVolume,BestBidSize,BestAskSize'</f>
        <v>睿生光電</v>
      </c>
      <c r="B62">
        <v>177.5</v>
      </c>
      <c r="C62" t="str">
        <v>--</v>
      </c>
      <c r="D62">
        <v>177.5</v>
      </c>
      <c r="E62">
        <v>16</v>
      </c>
      <c r="F62">
        <v>9.91</v>
      </c>
      <c r="G62">
        <v>6</v>
      </c>
      <c r="H62">
        <v>4531</v>
      </c>
      <c r="I62">
        <v>1067</v>
      </c>
      <c r="J62">
        <v>0</v>
      </c>
      <c r="K62">
        <f t="array" ref="K62:P62">[1]!'6861.TW-PreClose,InOutRatio,AvgPrice,Capital,Profit,MarketValue'</f>
        <v>161.5</v>
      </c>
      <c r="L62">
        <v>62.77</v>
      </c>
      <c r="M62">
        <v>168.78</v>
      </c>
      <c r="N62">
        <v>4.16</v>
      </c>
      <c r="O62">
        <v>1.32</v>
      </c>
      <c r="P62">
        <v>73.8</v>
      </c>
    </row>
    <row r="63" spans="1:16" x14ac:dyDescent="0.25">
      <c r="A63" t="str">
        <f t="array" ref="A63:J63">[1]!'6435.TW-Name,Bid,Ask,Price,PriceChange,PriceChangeRatio,Volume,TotalVolume,BestBidSize,BestAskSize'</f>
        <v>大中</v>
      </c>
      <c r="B63">
        <v>175</v>
      </c>
      <c r="C63">
        <v>175.5</v>
      </c>
      <c r="D63">
        <v>175.5</v>
      </c>
      <c r="E63">
        <v>-3</v>
      </c>
      <c r="F63">
        <v>-1.68</v>
      </c>
      <c r="G63">
        <v>82</v>
      </c>
      <c r="H63">
        <v>1370</v>
      </c>
      <c r="I63">
        <v>35</v>
      </c>
      <c r="J63">
        <v>1</v>
      </c>
      <c r="K63">
        <f t="array" ref="K63:P63">[1]!'6435.TW-PreClose,InOutRatio,AvgPrice,Capital,Profit,MarketValue'</f>
        <v>178.5</v>
      </c>
      <c r="L63">
        <v>44.95</v>
      </c>
      <c r="M63">
        <v>178.31</v>
      </c>
      <c r="N63">
        <v>3.75</v>
      </c>
      <c r="O63">
        <v>3.39</v>
      </c>
      <c r="P63">
        <v>65.7</v>
      </c>
    </row>
    <row r="64" spans="1:16" x14ac:dyDescent="0.25">
      <c r="A64" t="str">
        <f t="array" ref="A64:J64">[1]!'3042.TW-Name,Bid,Ask,Price,PriceChange,PriceChangeRatio,Volume,TotalVolume,BestBidSize,BestAskSize'</f>
        <v>晶技</v>
      </c>
      <c r="B64">
        <v>166.5</v>
      </c>
      <c r="C64" t="str">
        <v>--</v>
      </c>
      <c r="D64">
        <v>166.5</v>
      </c>
      <c r="E64">
        <v>15</v>
      </c>
      <c r="F64">
        <v>9.9</v>
      </c>
      <c r="G64">
        <v>54</v>
      </c>
      <c r="H64">
        <v>7295</v>
      </c>
      <c r="I64">
        <v>353</v>
      </c>
      <c r="J64">
        <v>0</v>
      </c>
      <c r="K64">
        <f t="array" ref="K64:P64">[1]!'3042.TW-PreClose,InOutRatio,AvgPrice,Capital,Profit,MarketValue'</f>
        <v>151.5</v>
      </c>
      <c r="L64">
        <v>66.84</v>
      </c>
      <c r="M64">
        <v>165.93</v>
      </c>
      <c r="N64">
        <v>34.299999999999997</v>
      </c>
      <c r="O64">
        <v>1.32</v>
      </c>
      <c r="P64">
        <v>529.5</v>
      </c>
    </row>
    <row r="65" spans="1:16" x14ac:dyDescent="0.25">
      <c r="A65" t="str">
        <f t="array" ref="A65:J65">[1]!'4755.TW-Name,Bid,Ask,Price,PriceChange,PriceChangeRatio,Volume,TotalVolume,BestBidSize,BestAskSize'</f>
        <v>三福化</v>
      </c>
      <c r="B65">
        <v>166.5</v>
      </c>
      <c r="C65" t="str">
        <v>--</v>
      </c>
      <c r="D65">
        <v>166.5</v>
      </c>
      <c r="E65">
        <v>15</v>
      </c>
      <c r="F65">
        <v>9.9</v>
      </c>
      <c r="G65">
        <v>5</v>
      </c>
      <c r="H65">
        <v>2033</v>
      </c>
      <c r="I65">
        <v>3158</v>
      </c>
      <c r="J65">
        <v>0</v>
      </c>
      <c r="K65">
        <f t="array" ref="K65:P65">[1]!'4755.TW-PreClose,InOutRatio,AvgPrice,Capital,Profit,MarketValue'</f>
        <v>151.5</v>
      </c>
      <c r="L65">
        <v>85.02</v>
      </c>
      <c r="M65">
        <v>164.69</v>
      </c>
      <c r="N65">
        <v>10.07</v>
      </c>
      <c r="O65">
        <v>1.3</v>
      </c>
      <c r="P65">
        <v>167.7</v>
      </c>
    </row>
    <row r="66" spans="1:16" x14ac:dyDescent="0.25">
      <c r="A66" t="str">
        <f t="array" ref="A66:J66">[1]!'7788.TW-Name,Bid,Ask,Price,PriceChange,PriceChangeRatio,Volume,TotalVolume,BestBidSize,BestAskSize'</f>
        <v>松川精密</v>
      </c>
      <c r="B66">
        <v>166</v>
      </c>
      <c r="C66">
        <v>167</v>
      </c>
      <c r="D66">
        <v>167</v>
      </c>
      <c r="E66">
        <v>4</v>
      </c>
      <c r="F66">
        <v>2.4500000000000002</v>
      </c>
      <c r="G66">
        <v>27</v>
      </c>
      <c r="H66">
        <v>796</v>
      </c>
      <c r="I66">
        <v>26</v>
      </c>
      <c r="J66">
        <v>2</v>
      </c>
      <c r="K66">
        <f t="array" ref="K66:P66">[1]!'7788.TW-PreClose,InOutRatio,AvgPrice,Capital,Profit,MarketValue'</f>
        <v>163</v>
      </c>
      <c r="L66">
        <v>34.64</v>
      </c>
      <c r="M66">
        <v>166.64</v>
      </c>
      <c r="N66">
        <v>7.97</v>
      </c>
      <c r="O66">
        <v>1.5</v>
      </c>
      <c r="P66">
        <v>133.19999999999999</v>
      </c>
    </row>
    <row r="67" spans="1:16" x14ac:dyDescent="0.25">
      <c r="A67" t="str">
        <f t="array" ref="A67:J67">[1]!'6877.TW-Name,Bid,Ask,Price,PriceChange,PriceChangeRatio,Volume,TotalVolume,BestBidSize,BestAskSize'</f>
        <v>鏵友益</v>
      </c>
      <c r="B67">
        <v>164.5</v>
      </c>
      <c r="C67">
        <v>165</v>
      </c>
      <c r="D67">
        <v>165</v>
      </c>
      <c r="E67">
        <v>7.5</v>
      </c>
      <c r="F67">
        <v>4.76</v>
      </c>
      <c r="G67">
        <v>71</v>
      </c>
      <c r="H67">
        <v>2457</v>
      </c>
      <c r="I67">
        <v>22</v>
      </c>
      <c r="J67">
        <v>10</v>
      </c>
      <c r="K67">
        <f t="array" ref="K67:P67">[1]!'6877.TW-PreClose,InOutRatio,AvgPrice,Capital,Profit,MarketValue'</f>
        <v>157.5</v>
      </c>
      <c r="L67">
        <v>45.14</v>
      </c>
      <c r="M67">
        <v>166.89</v>
      </c>
      <c r="N67">
        <v>4.7</v>
      </c>
      <c r="O67">
        <v>0.35</v>
      </c>
      <c r="P67">
        <v>77.5</v>
      </c>
    </row>
    <row r="68" spans="1:16" x14ac:dyDescent="0.25">
      <c r="A68" t="str">
        <f t="array" ref="A68:J68">[1]!'8147.TW-Name,Bid,Ask,Price,PriceChange,PriceChangeRatio,Volume,TotalVolume,BestBidSize,BestAskSize'</f>
        <v>正淩</v>
      </c>
      <c r="B68">
        <v>158.5</v>
      </c>
      <c r="C68">
        <v>159</v>
      </c>
      <c r="D68">
        <v>158.5</v>
      </c>
      <c r="E68">
        <v>-3.5</v>
      </c>
      <c r="F68">
        <v>-2.16</v>
      </c>
      <c r="G68">
        <v>57</v>
      </c>
      <c r="H68">
        <v>1731</v>
      </c>
      <c r="I68">
        <v>4</v>
      </c>
      <c r="J68">
        <v>1</v>
      </c>
      <c r="K68">
        <f t="array" ref="K68:P68">[1]!'8147.TW-PreClose,InOutRatio,AvgPrice,Capital,Profit,MarketValue'</f>
        <v>162</v>
      </c>
      <c r="L68">
        <v>37.700000000000003</v>
      </c>
      <c r="M68">
        <v>162.25</v>
      </c>
      <c r="N68">
        <v>4.1500000000000004</v>
      </c>
      <c r="O68">
        <v>0.4</v>
      </c>
      <c r="P68">
        <v>65.7</v>
      </c>
    </row>
    <row r="69" spans="1:16" x14ac:dyDescent="0.25">
      <c r="A69" t="str">
        <f t="array" ref="A69:J69">[1]!'6278.TW-Name,Bid,Ask,Price,PriceChange,PriceChangeRatio,Volume,TotalVolume,BestBidSize,BestAskSize'</f>
        <v>台表科</v>
      </c>
      <c r="B69">
        <v>158.5</v>
      </c>
      <c r="C69">
        <v>159</v>
      </c>
      <c r="D69">
        <v>158.5</v>
      </c>
      <c r="E69">
        <v>1.5</v>
      </c>
      <c r="F69">
        <v>0.96</v>
      </c>
      <c r="G69">
        <v>1290</v>
      </c>
      <c r="H69">
        <v>10843</v>
      </c>
      <c r="I69">
        <v>19</v>
      </c>
      <c r="J69">
        <v>1</v>
      </c>
      <c r="K69">
        <f t="array" ref="K69:P69">[1]!'6278.TW-PreClose,InOutRatio,AvgPrice,Capital,Profit,MarketValue'</f>
        <v>157</v>
      </c>
      <c r="L69">
        <v>62.4</v>
      </c>
      <c r="M69">
        <v>164.8</v>
      </c>
      <c r="N69">
        <v>29.24</v>
      </c>
      <c r="O69">
        <v>2.4900000000000002</v>
      </c>
      <c r="P69">
        <v>463.5</v>
      </c>
    </row>
    <row r="70" spans="1:16" x14ac:dyDescent="0.25">
      <c r="A70" t="str">
        <f t="array" ref="A70:J70">[1]!'2597.TW-Name,Bid,Ask,Price,PriceChange,PriceChangeRatio,Volume,TotalVolume,BestBidSize,BestAskSize'</f>
        <v>潤弘</v>
      </c>
      <c r="B70">
        <v>157.5</v>
      </c>
      <c r="C70">
        <v>158</v>
      </c>
      <c r="D70">
        <v>158</v>
      </c>
      <c r="E70">
        <v>-7.5</v>
      </c>
      <c r="F70">
        <v>-4.53</v>
      </c>
      <c r="G70">
        <v>64</v>
      </c>
      <c r="H70">
        <v>1200</v>
      </c>
      <c r="I70">
        <v>35</v>
      </c>
      <c r="J70">
        <v>8</v>
      </c>
      <c r="K70">
        <f t="array" ref="K70:P70">[1]!'2597.TW-PreClose,InOutRatio,AvgPrice,Capital,Profit,MarketValue'</f>
        <v>165.5</v>
      </c>
      <c r="L70">
        <v>38.44</v>
      </c>
      <c r="M70">
        <v>158.91999999999999</v>
      </c>
      <c r="N70">
        <v>31.07</v>
      </c>
      <c r="O70">
        <v>3.5</v>
      </c>
      <c r="P70">
        <v>490.9</v>
      </c>
    </row>
    <row r="71" spans="1:16" x14ac:dyDescent="0.25">
      <c r="A71" t="str">
        <f t="array" ref="A71:J71">[1]!'1785.TW-Name,Bid,Ask,Price,PriceChange,PriceChangeRatio,Volume,TotalVolume,BestBidSize,BestAskSize'</f>
        <v>光洋科</v>
      </c>
      <c r="B71">
        <v>153</v>
      </c>
      <c r="C71">
        <v>153.5</v>
      </c>
      <c r="D71">
        <v>153.5</v>
      </c>
      <c r="E71">
        <v>-2.5</v>
      </c>
      <c r="F71">
        <v>-1.6</v>
      </c>
      <c r="G71">
        <v>918</v>
      </c>
      <c r="H71">
        <v>15558</v>
      </c>
      <c r="I71">
        <v>96</v>
      </c>
      <c r="J71">
        <v>251</v>
      </c>
      <c r="K71">
        <f t="array" ref="K71:P71">[1]!'1785.TW-PreClose,InOutRatio,AvgPrice,Capital,Profit,MarketValue'</f>
        <v>156</v>
      </c>
      <c r="L71">
        <v>31.14</v>
      </c>
      <c r="M71">
        <v>155.65</v>
      </c>
      <c r="N71">
        <v>59.6</v>
      </c>
      <c r="O71">
        <v>1.87</v>
      </c>
      <c r="P71">
        <v>914.9</v>
      </c>
    </row>
    <row r="72" spans="1:16" x14ac:dyDescent="0.25">
      <c r="A72" t="str">
        <f t="array" ref="A72:J72">[1]!'8086.TW-Name,Bid,Ask,Price,PriceChange,PriceChangeRatio,Volume,TotalVolume,BestBidSize,BestAskSize'</f>
        <v>宏捷科</v>
      </c>
      <c r="B72">
        <v>150</v>
      </c>
      <c r="C72">
        <v>150.5</v>
      </c>
      <c r="D72">
        <v>150</v>
      </c>
      <c r="E72">
        <v>1.5</v>
      </c>
      <c r="F72">
        <v>1.01</v>
      </c>
      <c r="G72">
        <v>920</v>
      </c>
      <c r="H72">
        <v>22988</v>
      </c>
      <c r="I72">
        <v>12</v>
      </c>
      <c r="J72">
        <v>76</v>
      </c>
      <c r="K72">
        <f t="array" ref="K72:P72">[1]!'8086.TW-PreClose,InOutRatio,AvgPrice,Capital,Profit,MarketValue'</f>
        <v>148.5</v>
      </c>
      <c r="L72">
        <v>50.31</v>
      </c>
      <c r="M72">
        <v>152.30000000000001</v>
      </c>
      <c r="N72">
        <v>19.649999999999999</v>
      </c>
      <c r="O72">
        <v>1.33</v>
      </c>
      <c r="P72">
        <v>294.8</v>
      </c>
    </row>
    <row r="73" spans="1:16" x14ac:dyDescent="0.25">
      <c r="A73" t="str">
        <f t="array" ref="A73:J73">[1]!'6706.TW-Name,Bid,Ask,Price,PriceChange,PriceChangeRatio,Volume,TotalVolume,BestBidSize,BestAskSize'</f>
        <v>惠特</v>
      </c>
      <c r="B73">
        <v>148.5</v>
      </c>
      <c r="C73">
        <v>149</v>
      </c>
      <c r="D73">
        <v>149</v>
      </c>
      <c r="E73">
        <v>-2.5</v>
      </c>
      <c r="F73">
        <v>-1.65</v>
      </c>
      <c r="G73">
        <v>362</v>
      </c>
      <c r="H73">
        <v>8909</v>
      </c>
      <c r="I73">
        <v>91</v>
      </c>
      <c r="J73">
        <v>29</v>
      </c>
      <c r="K73">
        <f t="array" ref="K73:P73">[1]!'6706.TW-PreClose,InOutRatio,AvgPrice,Capital,Profit,MarketValue'</f>
        <v>151.5</v>
      </c>
      <c r="L73">
        <v>44.15</v>
      </c>
      <c r="M73">
        <v>150.27000000000001</v>
      </c>
      <c r="N73">
        <v>7.85</v>
      </c>
      <c r="O73">
        <v>-0.23</v>
      </c>
      <c r="P73">
        <v>117</v>
      </c>
    </row>
    <row r="74" spans="1:16" x14ac:dyDescent="0.25">
      <c r="A74" t="str">
        <f t="array" ref="A74:J74">[1]!'4577.TW-Name,Bid,Ask,Price,PriceChange,PriceChangeRatio,Volume,TotalVolume,BestBidSize,BestAskSize'</f>
        <v>達航科技</v>
      </c>
      <c r="B74">
        <v>145.5</v>
      </c>
      <c r="C74">
        <v>146</v>
      </c>
      <c r="D74">
        <v>145.5</v>
      </c>
      <c r="E74">
        <v>0</v>
      </c>
      <c r="F74">
        <v>0</v>
      </c>
      <c r="G74">
        <v>33</v>
      </c>
      <c r="H74">
        <v>708</v>
      </c>
      <c r="I74">
        <v>3</v>
      </c>
      <c r="J74">
        <v>7</v>
      </c>
      <c r="K74">
        <f t="array" ref="K74:P74">[1]!'4577.TW-PreClose,InOutRatio,AvgPrice,Capital,Profit,MarketValue'</f>
        <v>145.5</v>
      </c>
      <c r="L74">
        <v>40.72</v>
      </c>
      <c r="M74">
        <v>146.75</v>
      </c>
      <c r="N74">
        <v>4.91</v>
      </c>
      <c r="O74">
        <v>0.18</v>
      </c>
      <c r="P74">
        <v>71.5</v>
      </c>
    </row>
    <row r="75" spans="1:16" x14ac:dyDescent="0.25">
      <c r="A75" t="str">
        <f t="array" ref="A75:J75">[1]!'5222.TW-Name,Bid,Ask,Price,PriceChange,PriceChangeRatio,Volume,TotalVolume,BestBidSize,BestAskSize'</f>
        <v>全訊</v>
      </c>
      <c r="B75">
        <v>143.5</v>
      </c>
      <c r="C75">
        <v>144</v>
      </c>
      <c r="D75">
        <v>143.5</v>
      </c>
      <c r="E75">
        <v>-1</v>
      </c>
      <c r="F75">
        <v>-0.69</v>
      </c>
      <c r="G75">
        <v>155</v>
      </c>
      <c r="H75">
        <v>5820</v>
      </c>
      <c r="I75">
        <v>1</v>
      </c>
      <c r="J75">
        <v>18</v>
      </c>
      <c r="K75">
        <f t="array" ref="K75:P75">[1]!'5222.TW-PreClose,InOutRatio,AvgPrice,Capital,Profit,MarketValue'</f>
        <v>144.5</v>
      </c>
      <c r="L75">
        <v>40.5</v>
      </c>
      <c r="M75">
        <v>147.35</v>
      </c>
      <c r="N75">
        <v>9.11</v>
      </c>
      <c r="O75">
        <v>0.61</v>
      </c>
      <c r="P75">
        <v>130.5</v>
      </c>
    </row>
    <row r="76" spans="1:16" x14ac:dyDescent="0.25">
      <c r="A76" t="str">
        <f t="array" ref="A76:J76">[1]!'8039.TW-Name,Bid,Ask,Price,PriceChange,PriceChangeRatio,Volume,TotalVolume,BestBidSize,BestAskSize'</f>
        <v>台虹</v>
      </c>
      <c r="B76">
        <v>142.5</v>
      </c>
      <c r="C76">
        <v>143</v>
      </c>
      <c r="D76">
        <v>143</v>
      </c>
      <c r="E76">
        <v>-0.5</v>
      </c>
      <c r="F76">
        <v>-0.35</v>
      </c>
      <c r="G76">
        <v>738</v>
      </c>
      <c r="H76">
        <v>21755</v>
      </c>
      <c r="I76">
        <v>30</v>
      </c>
      <c r="J76">
        <v>37</v>
      </c>
      <c r="K76">
        <f t="array" ref="K76:P76">[1]!'8039.TW-PreClose,InOutRatio,AvgPrice,Capital,Profit,MarketValue'</f>
        <v>143.5</v>
      </c>
      <c r="L76">
        <v>44.77</v>
      </c>
      <c r="M76">
        <v>142.4</v>
      </c>
      <c r="N76">
        <v>26.37</v>
      </c>
      <c r="O76">
        <v>0.75</v>
      </c>
      <c r="P76">
        <v>376</v>
      </c>
    </row>
    <row r="77" spans="1:16" x14ac:dyDescent="0.25">
      <c r="A77" t="str">
        <f t="array" ref="A77:J77">[1]!'2351.TW-Name,Bid,Ask,Price,PriceChange,PriceChangeRatio,Volume,TotalVolume,BestBidSize,BestAskSize'</f>
        <v>順德</v>
      </c>
      <c r="B77">
        <v>141.5</v>
      </c>
      <c r="C77" t="str">
        <v>--</v>
      </c>
      <c r="D77">
        <v>141.5</v>
      </c>
      <c r="E77">
        <v>12.5</v>
      </c>
      <c r="F77">
        <v>9.69</v>
      </c>
      <c r="G77">
        <v>9</v>
      </c>
      <c r="H77">
        <v>5456</v>
      </c>
      <c r="I77">
        <v>6008</v>
      </c>
      <c r="J77">
        <v>0</v>
      </c>
      <c r="K77">
        <f t="array" ref="K77:P77">[1]!'2351.TW-PreClose,InOutRatio,AvgPrice,Capital,Profit,MarketValue'</f>
        <v>129</v>
      </c>
      <c r="L77">
        <v>85.49</v>
      </c>
      <c r="M77">
        <v>140.55000000000001</v>
      </c>
      <c r="N77">
        <v>18.21</v>
      </c>
      <c r="O77">
        <v>0.8</v>
      </c>
      <c r="P77">
        <v>257.7</v>
      </c>
    </row>
    <row r="78" spans="1:16" x14ac:dyDescent="0.25">
      <c r="A78" t="str">
        <f t="array" ref="A78:J78">[1]!'3402.TW-Name,Bid,Ask,Price,PriceChange,PriceChangeRatio,Volume,TotalVolume,BestBidSize,BestAskSize'</f>
        <v>漢科</v>
      </c>
      <c r="B78">
        <v>134</v>
      </c>
      <c r="C78">
        <v>134.5</v>
      </c>
      <c r="D78">
        <v>134</v>
      </c>
      <c r="E78">
        <v>2</v>
      </c>
      <c r="F78">
        <v>1.52</v>
      </c>
      <c r="G78">
        <v>44</v>
      </c>
      <c r="H78">
        <v>1910</v>
      </c>
      <c r="I78">
        <v>14</v>
      </c>
      <c r="J78">
        <v>51</v>
      </c>
      <c r="K78">
        <f t="array" ref="K78:P78">[1]!'3402.TW-PreClose,InOutRatio,AvgPrice,Capital,Profit,MarketValue'</f>
        <v>132</v>
      </c>
      <c r="L78">
        <v>48.61</v>
      </c>
      <c r="M78">
        <v>135.19999999999999</v>
      </c>
      <c r="N78">
        <v>7.3</v>
      </c>
      <c r="O78">
        <v>1.51</v>
      </c>
      <c r="P78">
        <v>97.9</v>
      </c>
    </row>
    <row r="79" spans="1:16" x14ac:dyDescent="0.25">
      <c r="A79" t="str">
        <f t="array" ref="A79:J79">[1]!'7402.TW-Name,Bid,Ask,Price,PriceChange,PriceChangeRatio,Volume,TotalVolume,BestBidSize,BestAskSize'</f>
        <v>邑錡</v>
      </c>
      <c r="B79">
        <v>133</v>
      </c>
      <c r="C79">
        <v>133.5</v>
      </c>
      <c r="D79">
        <v>133.5</v>
      </c>
      <c r="E79">
        <v>8</v>
      </c>
      <c r="F79">
        <v>6.37</v>
      </c>
      <c r="G79">
        <v>29</v>
      </c>
      <c r="H79">
        <v>1910</v>
      </c>
      <c r="I79">
        <v>22</v>
      </c>
      <c r="J79">
        <v>8</v>
      </c>
      <c r="K79">
        <f t="array" ref="K79:P79">[1]!'7402.TW-PreClose,InOutRatio,AvgPrice,Capital,Profit,MarketValue'</f>
        <v>125.5</v>
      </c>
      <c r="L79">
        <v>57.19</v>
      </c>
      <c r="M79">
        <v>133.41</v>
      </c>
      <c r="N79">
        <v>3.53</v>
      </c>
      <c r="O79">
        <v>0.05</v>
      </c>
      <c r="P79">
        <v>47.1</v>
      </c>
    </row>
    <row r="80" spans="1:16" x14ac:dyDescent="0.25">
      <c r="A80" t="str">
        <f t="array" ref="A80:J80">[1]!'8255.TW-Name,Bid,Ask,Price,PriceChange,PriceChangeRatio,Volume,TotalVolume,BestBidSize,BestAskSize'</f>
        <v>朋程</v>
      </c>
      <c r="B80">
        <v>132.5</v>
      </c>
      <c r="C80">
        <v>133</v>
      </c>
      <c r="D80">
        <v>132.5</v>
      </c>
      <c r="E80">
        <v>1</v>
      </c>
      <c r="F80">
        <v>0.76</v>
      </c>
      <c r="G80">
        <v>21</v>
      </c>
      <c r="H80">
        <v>666</v>
      </c>
      <c r="I80">
        <v>6</v>
      </c>
      <c r="J80">
        <v>15</v>
      </c>
      <c r="K80">
        <f t="array" ref="K80:P80">[1]!'8255.TW-PreClose,InOutRatio,AvgPrice,Capital,Profit,MarketValue'</f>
        <v>131.5</v>
      </c>
      <c r="L80">
        <v>50.08</v>
      </c>
      <c r="M80">
        <v>133.25</v>
      </c>
      <c r="N80">
        <v>10.18</v>
      </c>
      <c r="O80">
        <v>1.67</v>
      </c>
      <c r="P80">
        <v>134.9</v>
      </c>
    </row>
    <row r="81" spans="1:16" x14ac:dyDescent="0.25">
      <c r="A81" t="str">
        <f t="array" ref="A81:J81">[1]!'3708.TW-Name,Bid,Ask,Price,PriceChange,PriceChangeRatio,Volume,TotalVolume,BestBidSize,BestAskSize'</f>
        <v>上緯投控</v>
      </c>
      <c r="B81">
        <v>127.5</v>
      </c>
      <c r="C81">
        <v>128</v>
      </c>
      <c r="D81">
        <v>128</v>
      </c>
      <c r="E81">
        <v>4.5</v>
      </c>
      <c r="F81">
        <v>3.64</v>
      </c>
      <c r="G81">
        <v>104</v>
      </c>
      <c r="H81">
        <v>1973</v>
      </c>
      <c r="I81">
        <v>5</v>
      </c>
      <c r="J81">
        <v>131</v>
      </c>
      <c r="K81">
        <f t="array" ref="K81:P81">[1]!'3708.TW-PreClose,InOutRatio,AvgPrice,Capital,Profit,MarketValue'</f>
        <v>123.5</v>
      </c>
      <c r="L81">
        <v>56.54</v>
      </c>
      <c r="M81">
        <v>126.44</v>
      </c>
      <c r="N81">
        <v>9.76</v>
      </c>
      <c r="O81">
        <v>35.04</v>
      </c>
      <c r="P81">
        <v>124.5</v>
      </c>
    </row>
    <row r="82" spans="1:16" x14ac:dyDescent="0.25">
      <c r="A82" t="str">
        <f t="array" ref="A82:J82">[1]!'6214.TW-Name,Bid,Ask,Price,PriceChange,PriceChangeRatio,Volume,TotalVolume,BestBidSize,BestAskSize'</f>
        <v>精誠</v>
      </c>
      <c r="B82">
        <v>126.5</v>
      </c>
      <c r="C82">
        <v>127</v>
      </c>
      <c r="D82">
        <v>126.5</v>
      </c>
      <c r="E82">
        <v>0.5</v>
      </c>
      <c r="F82">
        <v>0.4</v>
      </c>
      <c r="G82">
        <v>174</v>
      </c>
      <c r="H82">
        <v>3390</v>
      </c>
      <c r="I82">
        <v>21</v>
      </c>
      <c r="J82">
        <v>81</v>
      </c>
      <c r="K82">
        <f t="array" ref="K82:P82">[1]!'6214.TW-PreClose,InOutRatio,AvgPrice,Capital,Profit,MarketValue'</f>
        <v>126</v>
      </c>
      <c r="L82">
        <v>50.67</v>
      </c>
      <c r="M82">
        <v>126.7</v>
      </c>
      <c r="N82">
        <v>27.22</v>
      </c>
      <c r="O82">
        <v>2.5</v>
      </c>
      <c r="P82">
        <v>344.4</v>
      </c>
    </row>
    <row r="83" spans="1:16" x14ac:dyDescent="0.25">
      <c r="A83" t="str">
        <f t="array" ref="A83:J83">[1]!'8261.TW-Name,Bid,Ask,Price,PriceChange,PriceChangeRatio,Volume,TotalVolume,BestBidSize,BestAskSize'</f>
        <v>富鼎</v>
      </c>
      <c r="B83">
        <v>126</v>
      </c>
      <c r="C83">
        <v>126.5</v>
      </c>
      <c r="D83">
        <v>126</v>
      </c>
      <c r="E83">
        <v>-1.5</v>
      </c>
      <c r="F83">
        <v>-1.18</v>
      </c>
      <c r="G83">
        <v>560</v>
      </c>
      <c r="H83">
        <v>13212</v>
      </c>
      <c r="I83">
        <v>15</v>
      </c>
      <c r="J83">
        <v>38</v>
      </c>
      <c r="K83">
        <f t="array" ref="K83:P83">[1]!'8261.TW-PreClose,InOutRatio,AvgPrice,Capital,Profit,MarketValue'</f>
        <v>127.5</v>
      </c>
      <c r="L83">
        <v>48.93</v>
      </c>
      <c r="M83">
        <v>127.13</v>
      </c>
      <c r="N83">
        <v>11.89</v>
      </c>
      <c r="O83">
        <v>1.68</v>
      </c>
      <c r="P83">
        <v>105.7</v>
      </c>
    </row>
    <row r="84" spans="1:16" x14ac:dyDescent="0.25">
      <c r="A84" t="str">
        <f t="array" ref="A84:J84">[1]!'5340.TW-Name,Bid,Ask,Price,PriceChange,PriceChangeRatio,Volume,TotalVolume,BestBidSize,BestAskSize'</f>
        <v>建榮</v>
      </c>
      <c r="B84">
        <v>125.5</v>
      </c>
      <c r="C84">
        <v>126</v>
      </c>
      <c r="D84">
        <v>125.5</v>
      </c>
      <c r="E84">
        <v>-8.5</v>
      </c>
      <c r="F84">
        <v>-6.34</v>
      </c>
      <c r="G84">
        <v>1103</v>
      </c>
      <c r="H84">
        <v>17445</v>
      </c>
      <c r="I84">
        <v>42</v>
      </c>
      <c r="J84">
        <v>75</v>
      </c>
      <c r="K84">
        <f t="array" ref="K84:P84">[1]!'5340.TW-PreClose,InOutRatio,AvgPrice,Capital,Profit,MarketValue'</f>
        <v>134</v>
      </c>
      <c r="L84">
        <v>45.48</v>
      </c>
      <c r="M84">
        <v>127.98</v>
      </c>
      <c r="N84">
        <v>19.489999999999998</v>
      </c>
      <c r="O84">
        <v>0.41</v>
      </c>
      <c r="P84">
        <v>244.6</v>
      </c>
    </row>
    <row r="85" spans="1:16" x14ac:dyDescent="0.25">
      <c r="A85" t="str">
        <f t="array" ref="A85:J85">[1]!'2476.TW-Name,Bid,Ask,Price,PriceChange,PriceChangeRatio,Volume,TotalVolume,BestBidSize,BestAskSize'</f>
        <v>鉅祥</v>
      </c>
      <c r="B85">
        <v>121.5</v>
      </c>
      <c r="C85">
        <v>122</v>
      </c>
      <c r="D85">
        <v>121.5</v>
      </c>
      <c r="E85">
        <v>6.5</v>
      </c>
      <c r="F85">
        <v>5.65</v>
      </c>
      <c r="G85">
        <v>568</v>
      </c>
      <c r="H85">
        <v>13106</v>
      </c>
      <c r="I85">
        <v>19</v>
      </c>
      <c r="J85">
        <v>194</v>
      </c>
      <c r="K85">
        <f t="array" ref="K85:P85">[1]!'2476.TW-PreClose,InOutRatio,AvgPrice,Capital,Profit,MarketValue'</f>
        <v>115</v>
      </c>
      <c r="L85">
        <v>54.89</v>
      </c>
      <c r="M85">
        <v>121.35</v>
      </c>
      <c r="N85">
        <v>21.81</v>
      </c>
      <c r="O85">
        <v>1.66</v>
      </c>
      <c r="P85">
        <v>264.60000000000002</v>
      </c>
    </row>
    <row r="86" spans="1:16" x14ac:dyDescent="0.25">
      <c r="A86" t="str">
        <f t="array" ref="A86:J86">[1]!'6462.TW-Name,Bid,Ask,Price,PriceChange,PriceChangeRatio,Volume,TotalVolume,BestBidSize,BestAskSize'</f>
        <v>神盾</v>
      </c>
      <c r="B86">
        <v>119</v>
      </c>
      <c r="C86">
        <v>119.5</v>
      </c>
      <c r="D86">
        <v>119</v>
      </c>
      <c r="E86">
        <v>-3.5</v>
      </c>
      <c r="F86">
        <v>-2.86</v>
      </c>
      <c r="G86">
        <v>207</v>
      </c>
      <c r="H86">
        <v>3825</v>
      </c>
      <c r="I86">
        <v>9</v>
      </c>
      <c r="J86">
        <v>11</v>
      </c>
      <c r="K86">
        <f t="array" ref="K86:P86">[1]!'6462.TW-PreClose,InOutRatio,AvgPrice,Capital,Profit,MarketValue'</f>
        <v>122.5</v>
      </c>
      <c r="L86">
        <v>36.659999999999997</v>
      </c>
      <c r="M86">
        <v>123.76</v>
      </c>
      <c r="N86">
        <v>9.1300000000000008</v>
      </c>
      <c r="O86">
        <v>-5.01</v>
      </c>
      <c r="P86">
        <v>108.6</v>
      </c>
    </row>
    <row r="87" spans="1:16" x14ac:dyDescent="0.25">
      <c r="A87" t="str">
        <f t="array" ref="A87:J87">[1]!'1815.TW-Name,Bid,Ask,Price,PriceChange,PriceChangeRatio,Volume,TotalVolume,BestBidSize,BestAskSize'</f>
        <v>富喬</v>
      </c>
      <c r="B87">
        <v>118</v>
      </c>
      <c r="C87">
        <v>118.5</v>
      </c>
      <c r="D87">
        <v>118</v>
      </c>
      <c r="E87">
        <v>-9</v>
      </c>
      <c r="F87">
        <v>-7.09</v>
      </c>
      <c r="G87">
        <v>3014</v>
      </c>
      <c r="H87">
        <v>118730</v>
      </c>
      <c r="I87">
        <v>1551</v>
      </c>
      <c r="J87">
        <v>287</v>
      </c>
      <c r="K87">
        <f t="array" ref="K87:P87">[1]!'1815.TW-PreClose,InOutRatio,AvgPrice,Capital,Profit,MarketValue'</f>
        <v>127</v>
      </c>
      <c r="L87">
        <v>38.840000000000003</v>
      </c>
      <c r="M87">
        <v>121.95</v>
      </c>
      <c r="N87">
        <v>58.55</v>
      </c>
      <c r="O87">
        <v>0.84</v>
      </c>
      <c r="P87">
        <v>690.2</v>
      </c>
    </row>
    <row r="88" spans="1:16" x14ac:dyDescent="0.25">
      <c r="A88" t="str">
        <f t="array" ref="A88:J88">[1]!'3645.TW-Name,Bid,Ask,Price,PriceChange,PriceChangeRatio,Volume,TotalVolume,BestBidSize,BestAskSize'</f>
        <v>達邁</v>
      </c>
      <c r="B88">
        <v>114.5</v>
      </c>
      <c r="C88" t="str">
        <v>--</v>
      </c>
      <c r="D88">
        <v>114.5</v>
      </c>
      <c r="E88">
        <v>10</v>
      </c>
      <c r="F88">
        <v>9.57</v>
      </c>
      <c r="G88">
        <v>39</v>
      </c>
      <c r="H88">
        <v>19597</v>
      </c>
      <c r="I88">
        <v>10214</v>
      </c>
      <c r="J88">
        <v>0</v>
      </c>
      <c r="K88">
        <f t="array" ref="K88:P88">[1]!'3645.TW-PreClose,InOutRatio,AvgPrice,Capital,Profit,MarketValue'</f>
        <v>104.5</v>
      </c>
      <c r="L88">
        <v>71.510000000000005</v>
      </c>
      <c r="M88">
        <v>108.87</v>
      </c>
      <c r="N88">
        <v>13.68</v>
      </c>
      <c r="O88">
        <v>0.6</v>
      </c>
      <c r="P88">
        <v>156.6</v>
      </c>
    </row>
    <row r="89" spans="1:16" x14ac:dyDescent="0.25">
      <c r="A89" t="str">
        <f t="array" ref="A89:J89">[1]!'3013.TW-Name,Bid,Ask,Price,PriceChange,PriceChangeRatio,Volume,TotalVolume,BestBidSize,BestAskSize'</f>
        <v>晟銘電</v>
      </c>
      <c r="B89">
        <v>111.5</v>
      </c>
      <c r="C89">
        <v>112</v>
      </c>
      <c r="D89">
        <v>112</v>
      </c>
      <c r="E89">
        <v>1</v>
      </c>
      <c r="F89">
        <v>0.9</v>
      </c>
      <c r="G89">
        <v>211</v>
      </c>
      <c r="H89">
        <v>4715</v>
      </c>
      <c r="I89">
        <v>73</v>
      </c>
      <c r="J89">
        <v>69</v>
      </c>
      <c r="K89">
        <f t="array" ref="K89:P89">[1]!'3013.TW-PreClose,InOutRatio,AvgPrice,Capital,Profit,MarketValue'</f>
        <v>111</v>
      </c>
      <c r="L89">
        <v>49.09</v>
      </c>
      <c r="M89">
        <v>111.74</v>
      </c>
      <c r="N89">
        <v>20.51</v>
      </c>
      <c r="O89">
        <v>1.59</v>
      </c>
      <c r="P89">
        <v>229.8</v>
      </c>
    </row>
    <row r="90" spans="1:16" x14ac:dyDescent="0.25">
      <c r="A90" t="str">
        <f t="array" ref="A90:J90">[1]!'2481.TW-Name,Bid,Ask,Price,PriceChange,PriceChangeRatio,Volume,TotalVolume,BestBidSize,BestAskSize'</f>
        <v>強茂</v>
      </c>
      <c r="B90">
        <v>110</v>
      </c>
      <c r="C90">
        <v>110.5</v>
      </c>
      <c r="D90">
        <v>110</v>
      </c>
      <c r="E90">
        <v>-8</v>
      </c>
      <c r="F90">
        <v>-6.78</v>
      </c>
      <c r="G90">
        <v>1378</v>
      </c>
      <c r="H90">
        <v>64359</v>
      </c>
      <c r="I90">
        <v>312</v>
      </c>
      <c r="J90">
        <v>158</v>
      </c>
      <c r="K90">
        <f t="array" ref="K90:P90">[1]!'2481.TW-PreClose,InOutRatio,AvgPrice,Capital,Profit,MarketValue'</f>
        <v>118</v>
      </c>
      <c r="L90">
        <v>44.64</v>
      </c>
      <c r="M90">
        <v>113.38</v>
      </c>
      <c r="N90">
        <v>38.21</v>
      </c>
      <c r="O90">
        <v>0.94</v>
      </c>
      <c r="P90">
        <v>420.3</v>
      </c>
    </row>
    <row r="91" spans="1:16" x14ac:dyDescent="0.25">
      <c r="A91" t="str">
        <f t="array" ref="A91:J91">[1]!'3388.TW-Name,Bid,Ask,Price,PriceChange,PriceChangeRatio,Volume,TotalVolume,BestBidSize,BestAskSize'</f>
        <v>崇越電</v>
      </c>
      <c r="B91">
        <v>109</v>
      </c>
      <c r="C91" t="str">
        <v>--</v>
      </c>
      <c r="D91">
        <v>109</v>
      </c>
      <c r="E91">
        <v>9.6999999999999993</v>
      </c>
      <c r="F91">
        <v>9.77</v>
      </c>
      <c r="G91">
        <v>34</v>
      </c>
      <c r="H91">
        <v>5309</v>
      </c>
      <c r="I91">
        <v>3392</v>
      </c>
      <c r="J91">
        <v>0</v>
      </c>
      <c r="K91">
        <f t="array" ref="K91:P91">[1]!'3388.TW-PreClose,InOutRatio,AvgPrice,Capital,Profit,MarketValue'</f>
        <v>99.3</v>
      </c>
      <c r="L91">
        <v>57.85</v>
      </c>
      <c r="M91">
        <v>106.22</v>
      </c>
      <c r="N91">
        <v>7.41</v>
      </c>
      <c r="O91">
        <v>1.0900000000000001</v>
      </c>
      <c r="P91">
        <v>80.7</v>
      </c>
    </row>
    <row r="92" spans="1:16" x14ac:dyDescent="0.25">
      <c r="A92" t="str">
        <f t="array" ref="A92:J92">[1]!'6902.TW-Name,Bid,Ask,Price,PriceChange,PriceChangeRatio,Volume,TotalVolume,BestBidSize,BestAskSize'</f>
        <v>GOGOLOOK</v>
      </c>
      <c r="B92">
        <v>100.5</v>
      </c>
      <c r="C92">
        <v>101</v>
      </c>
      <c r="D92">
        <v>101</v>
      </c>
      <c r="E92">
        <v>1.9</v>
      </c>
      <c r="F92">
        <v>1.92</v>
      </c>
      <c r="G92">
        <v>13</v>
      </c>
      <c r="H92">
        <v>768</v>
      </c>
      <c r="I92">
        <v>2</v>
      </c>
      <c r="J92">
        <v>3</v>
      </c>
      <c r="K92">
        <f t="array" ref="K92:P92">[1]!'6902.TW-PreClose,InOutRatio,AvgPrice,Capital,Profit,MarketValue'</f>
        <v>99.1</v>
      </c>
      <c r="L92">
        <v>52.98</v>
      </c>
      <c r="M92">
        <v>101.52</v>
      </c>
      <c r="N92">
        <v>3.54</v>
      </c>
      <c r="O92">
        <v>1.35</v>
      </c>
      <c r="P92">
        <v>35.700000000000003</v>
      </c>
    </row>
    <row r="93" spans="1:16" x14ac:dyDescent="0.25">
      <c r="A93" t="str">
        <f t="array" ref="A93:J93">[1]!'3430.TW-Name,Bid,Ask,Price,PriceChange,PriceChangeRatio,Volume,TotalVolume,BestBidSize,BestAskSize'</f>
        <v>奇鈦科</v>
      </c>
      <c r="B93">
        <v>94.1</v>
      </c>
      <c r="C93" t="str">
        <v>--</v>
      </c>
      <c r="D93">
        <v>94.1</v>
      </c>
      <c r="E93">
        <v>8.5</v>
      </c>
      <c r="F93">
        <v>9.93</v>
      </c>
      <c r="G93">
        <v>7</v>
      </c>
      <c r="H93">
        <v>1375</v>
      </c>
      <c r="I93">
        <v>371</v>
      </c>
      <c r="J93">
        <v>0</v>
      </c>
      <c r="K93">
        <f t="array" ref="K93:P93">[1]!'3430.TW-PreClose,InOutRatio,AvgPrice,Capital,Profit,MarketValue'</f>
        <v>85.6</v>
      </c>
      <c r="L93">
        <v>100</v>
      </c>
      <c r="M93">
        <v>94.1</v>
      </c>
      <c r="N93">
        <v>3.37</v>
      </c>
      <c r="O93">
        <v>1.01</v>
      </c>
      <c r="P93">
        <v>31.7</v>
      </c>
    </row>
    <row r="94" spans="1:16" x14ac:dyDescent="0.25">
      <c r="A94" t="str">
        <f t="array" ref="A94:J94">[1]!'6425.TW-Name,Bid,Ask,Price,PriceChange,PriceChangeRatio,Volume,TotalVolume,BestBidSize,BestAskSize'</f>
        <v>易發</v>
      </c>
      <c r="B94">
        <v>91</v>
      </c>
      <c r="C94">
        <v>91.1</v>
      </c>
      <c r="D94">
        <v>91</v>
      </c>
      <c r="E94">
        <v>5.0999999999999996</v>
      </c>
      <c r="F94">
        <v>5.94</v>
      </c>
      <c r="G94">
        <v>247</v>
      </c>
      <c r="H94">
        <v>14375</v>
      </c>
      <c r="I94">
        <v>58</v>
      </c>
      <c r="J94">
        <v>3</v>
      </c>
      <c r="K94">
        <f t="array" ref="K94:P94">[1]!'6425.TW-PreClose,InOutRatio,AvgPrice,Capital,Profit,MarketValue'</f>
        <v>85.9</v>
      </c>
      <c r="L94">
        <v>49.14</v>
      </c>
      <c r="M94">
        <v>88.8</v>
      </c>
      <c r="N94">
        <v>5.09</v>
      </c>
      <c r="O94">
        <v>0.97</v>
      </c>
      <c r="P94">
        <v>46.3</v>
      </c>
    </row>
    <row r="95" spans="1:16" x14ac:dyDescent="0.25">
      <c r="A95" t="str">
        <f t="array" ref="A95:J95">[1]!'6173.TW-Name,Bid,Ask,Price,PriceChange,PriceChangeRatio,Volume,TotalVolume,BestBidSize,BestAskSize'</f>
        <v>信昌電</v>
      </c>
      <c r="B95">
        <v>90.6</v>
      </c>
      <c r="C95">
        <v>90.7</v>
      </c>
      <c r="D95">
        <v>90.7</v>
      </c>
      <c r="E95">
        <v>-1.5</v>
      </c>
      <c r="F95">
        <v>-1.63</v>
      </c>
      <c r="G95">
        <v>920</v>
      </c>
      <c r="H95">
        <v>50837</v>
      </c>
      <c r="I95">
        <v>55</v>
      </c>
      <c r="J95">
        <v>1</v>
      </c>
      <c r="K95">
        <f t="array" ref="K95:P95">[1]!'6173.TW-PreClose,InOutRatio,AvgPrice,Capital,Profit,MarketValue'</f>
        <v>92.2</v>
      </c>
      <c r="L95">
        <v>48.84</v>
      </c>
      <c r="M95">
        <v>88.85</v>
      </c>
      <c r="N95">
        <v>17.2</v>
      </c>
      <c r="O95">
        <v>1.1399999999999999</v>
      </c>
      <c r="P95">
        <v>156</v>
      </c>
    </row>
    <row r="96" spans="1:16" x14ac:dyDescent="0.25">
      <c r="A96" t="str">
        <f t="array" ref="A96:J96">[1]!'8438.TW-Name,Bid,Ask,Price,PriceChange,PriceChangeRatio,Volume,TotalVolume,BestBidSize,BestAskSize'</f>
        <v>昶昕</v>
      </c>
      <c r="B96">
        <v>88.3</v>
      </c>
      <c r="C96">
        <v>88.5</v>
      </c>
      <c r="D96">
        <v>88.4</v>
      </c>
      <c r="E96">
        <v>0.1</v>
      </c>
      <c r="F96">
        <v>0.11</v>
      </c>
      <c r="G96">
        <v>104</v>
      </c>
      <c r="H96">
        <v>1475</v>
      </c>
      <c r="I96">
        <v>2</v>
      </c>
      <c r="J96">
        <v>1</v>
      </c>
      <c r="K96">
        <f t="array" ref="K96:P96">[1]!'8438.TW-PreClose,InOutRatio,AvgPrice,Capital,Profit,MarketValue'</f>
        <v>88.3</v>
      </c>
      <c r="L96">
        <v>45.3</v>
      </c>
      <c r="M96">
        <v>88.6</v>
      </c>
      <c r="N96">
        <v>6.99</v>
      </c>
      <c r="O96">
        <v>0.89</v>
      </c>
      <c r="P96">
        <v>61.8</v>
      </c>
    </row>
    <row r="97" spans="1:16" x14ac:dyDescent="0.25">
      <c r="A97" t="str">
        <f t="array" ref="A97:J97">[1]!'2464.TW-Name,Bid,Ask,Price,PriceChange,PriceChangeRatio,Volume,TotalVolume,BestBidSize,BestAskSize'</f>
        <v>盟立</v>
      </c>
      <c r="B97">
        <v>86.9</v>
      </c>
      <c r="C97" t="str">
        <v>--</v>
      </c>
      <c r="D97">
        <v>86.9</v>
      </c>
      <c r="E97">
        <v>7.9</v>
      </c>
      <c r="F97">
        <v>10</v>
      </c>
      <c r="G97">
        <v>10</v>
      </c>
      <c r="H97">
        <v>19312</v>
      </c>
      <c r="I97">
        <v>11956</v>
      </c>
      <c r="J97">
        <v>0</v>
      </c>
      <c r="K97">
        <f t="array" ref="K97:P97">[1]!'2464.TW-PreClose,InOutRatio,AvgPrice,Capital,Profit,MarketValue'</f>
        <v>79</v>
      </c>
      <c r="L97">
        <v>84.67</v>
      </c>
      <c r="M97">
        <v>86.18</v>
      </c>
      <c r="N97">
        <v>20.64</v>
      </c>
      <c r="O97">
        <v>-0.26</v>
      </c>
      <c r="P97">
        <v>179.3</v>
      </c>
    </row>
    <row r="98" spans="1:16" x14ac:dyDescent="0.25">
      <c r="A98" t="str">
        <f t="array" ref="A98:J98">[1]!'6532.TW-Name,Bid,Ask,Price,PriceChange,PriceChangeRatio,Volume,TotalVolume,BestBidSize,BestAskSize'</f>
        <v>瑞耘</v>
      </c>
      <c r="B98">
        <v>84.5</v>
      </c>
      <c r="C98">
        <v>84.8</v>
      </c>
      <c r="D98">
        <v>84.8</v>
      </c>
      <c r="E98">
        <v>1.3</v>
      </c>
      <c r="F98">
        <v>1.56</v>
      </c>
      <c r="G98">
        <v>83</v>
      </c>
      <c r="H98">
        <v>2017</v>
      </c>
      <c r="I98">
        <v>1</v>
      </c>
      <c r="J98">
        <v>12</v>
      </c>
      <c r="K98">
        <f t="array" ref="K98:P98">[1]!'6532.TW-PreClose,InOutRatio,AvgPrice,Capital,Profit,MarketValue'</f>
        <v>83.5</v>
      </c>
      <c r="L98">
        <v>45.03</v>
      </c>
      <c r="M98">
        <v>84.47</v>
      </c>
      <c r="N98">
        <v>3.74</v>
      </c>
      <c r="O98">
        <v>5.0599999999999996</v>
      </c>
      <c r="P98">
        <v>31.8</v>
      </c>
    </row>
    <row r="99" spans="1:16" x14ac:dyDescent="0.25">
      <c r="A99" t="str">
        <f t="array" ref="A99:J99">[1]!'6245.TW-Name,Bid,Ask,Price,PriceChange,PriceChangeRatio,Volume,TotalVolume,BestBidSize,BestAskSize'</f>
        <v>立端</v>
      </c>
      <c r="B99">
        <v>83.9</v>
      </c>
      <c r="C99">
        <v>84</v>
      </c>
      <c r="D99">
        <v>83.9</v>
      </c>
      <c r="E99">
        <v>1.1000000000000001</v>
      </c>
      <c r="F99">
        <v>1.33</v>
      </c>
      <c r="G99">
        <v>41</v>
      </c>
      <c r="H99">
        <v>2392</v>
      </c>
      <c r="I99">
        <v>1</v>
      </c>
      <c r="J99">
        <v>8</v>
      </c>
      <c r="K99">
        <f t="array" ref="K99:P99">[1]!'6245.TW-PreClose,InOutRatio,AvgPrice,Capital,Profit,MarketValue'</f>
        <v>82.8</v>
      </c>
      <c r="L99">
        <v>53.25</v>
      </c>
      <c r="M99">
        <v>84.2</v>
      </c>
      <c r="N99">
        <v>14.66</v>
      </c>
      <c r="O99">
        <v>1.5</v>
      </c>
      <c r="P99">
        <v>123</v>
      </c>
    </row>
    <row r="100" spans="1:16" x14ac:dyDescent="0.25">
      <c r="A100" t="str">
        <f t="array" ref="A100:J100">[1]!'6456.TW-Name,Bid,Ask,Price,PriceChange,PriceChangeRatio,Volume,TotalVolume,BestBidSize,BestAskSize'</f>
        <v>GIS-KY</v>
      </c>
      <c r="B100">
        <v>83.7</v>
      </c>
      <c r="C100">
        <v>83.8</v>
      </c>
      <c r="D100">
        <v>83.8</v>
      </c>
      <c r="E100">
        <v>6.2</v>
      </c>
      <c r="F100">
        <v>7.99</v>
      </c>
      <c r="G100">
        <v>1457</v>
      </c>
      <c r="H100">
        <v>49490</v>
      </c>
      <c r="I100">
        <v>20</v>
      </c>
      <c r="J100">
        <v>34</v>
      </c>
      <c r="K100">
        <f t="array" ref="K100:P100">[1]!'6456.TW-PreClose,InOutRatio,AvgPrice,Capital,Profit,MarketValue'</f>
        <v>77.599999999999994</v>
      </c>
      <c r="L100">
        <v>49.93</v>
      </c>
      <c r="M100">
        <v>80.7</v>
      </c>
      <c r="N100">
        <v>33.79</v>
      </c>
      <c r="O100">
        <v>-0.41</v>
      </c>
      <c r="P100">
        <v>283.2</v>
      </c>
    </row>
    <row r="101" spans="1:16" x14ac:dyDescent="0.25">
      <c r="A101" t="str">
        <f t="array" ref="A101:J101">[1]!'6823.TW-Name,Bid,Ask,Price,PriceChange,PriceChangeRatio,Volume,TotalVolume,BestBidSize,BestAskSize'</f>
        <v>濾能</v>
      </c>
      <c r="B101">
        <v>83.6</v>
      </c>
      <c r="C101">
        <v>83.7</v>
      </c>
      <c r="D101">
        <v>83.7</v>
      </c>
      <c r="E101">
        <v>6.6</v>
      </c>
      <c r="F101">
        <v>8.56</v>
      </c>
      <c r="G101">
        <v>23</v>
      </c>
      <c r="H101">
        <v>1879</v>
      </c>
      <c r="I101">
        <v>2</v>
      </c>
      <c r="J101">
        <v>18</v>
      </c>
      <c r="K101">
        <f t="array" ref="K101:P101">[1]!'6823.TW-PreClose,InOutRatio,AvgPrice,Capital,Profit,MarketValue'</f>
        <v>77.099999999999994</v>
      </c>
      <c r="L101">
        <v>63.75</v>
      </c>
      <c r="M101">
        <v>82.18</v>
      </c>
      <c r="N101">
        <v>3.05</v>
      </c>
      <c r="O101">
        <v>-4.6100000000000003</v>
      </c>
      <c r="P101">
        <v>25.6</v>
      </c>
    </row>
    <row r="102" spans="1:16" x14ac:dyDescent="0.25">
      <c r="A102" t="str">
        <f t="array" ref="A102:J102">[1]!'6735.TW-Name,Bid,Ask,Price,PriceChange,PriceChangeRatio,Volume,TotalVolume,BestBidSize,BestAskSize'</f>
        <v>美達科技</v>
      </c>
      <c r="B102">
        <v>83.4</v>
      </c>
      <c r="C102" t="str">
        <v>--</v>
      </c>
      <c r="D102">
        <v>83.4</v>
      </c>
      <c r="E102">
        <v>7.5</v>
      </c>
      <c r="F102">
        <v>9.8800000000000008</v>
      </c>
      <c r="G102">
        <v>1</v>
      </c>
      <c r="H102">
        <v>186</v>
      </c>
      <c r="I102">
        <v>7404</v>
      </c>
      <c r="J102">
        <v>0</v>
      </c>
      <c r="K102">
        <f t="array" ref="K102:P102">[1]!'6735.TW-PreClose,InOutRatio,AvgPrice,Capital,Profit,MarketValue'</f>
        <v>75.900000000000006</v>
      </c>
      <c r="L102">
        <v>100</v>
      </c>
      <c r="M102">
        <v>83.4</v>
      </c>
      <c r="N102">
        <v>4.62</v>
      </c>
      <c r="O102">
        <v>0.86</v>
      </c>
      <c r="P102">
        <v>38.5</v>
      </c>
    </row>
    <row r="103" spans="1:16" x14ac:dyDescent="0.25">
      <c r="A103" t="str">
        <f t="array" ref="A103:J103">[1]!'6205.TW-Name,Bid,Ask,Price,PriceChange,PriceChangeRatio,Volume,TotalVolume,BestBidSize,BestAskSize'</f>
        <v>詮欣</v>
      </c>
      <c r="B103">
        <v>81</v>
      </c>
      <c r="C103">
        <v>81.099999999999994</v>
      </c>
      <c r="D103">
        <v>81</v>
      </c>
      <c r="E103">
        <v>6</v>
      </c>
      <c r="F103">
        <v>8</v>
      </c>
      <c r="G103">
        <v>319</v>
      </c>
      <c r="H103">
        <v>11950</v>
      </c>
      <c r="I103">
        <v>46</v>
      </c>
      <c r="J103">
        <v>8</v>
      </c>
      <c r="K103">
        <f t="array" ref="K103:P103">[1]!'6205.TW-PreClose,InOutRatio,AvgPrice,Capital,Profit,MarketValue'</f>
        <v>75</v>
      </c>
      <c r="L103">
        <v>48.2</v>
      </c>
      <c r="M103">
        <v>80.8</v>
      </c>
      <c r="N103">
        <v>8.2200000000000006</v>
      </c>
      <c r="O103">
        <v>0.49</v>
      </c>
      <c r="P103">
        <v>66.599999999999994</v>
      </c>
    </row>
    <row r="104" spans="1:16" x14ac:dyDescent="0.25">
      <c r="A104" t="str">
        <f t="array" ref="A104:J104">[1]!'1717.TW-Name,Bid,Ask,Price,PriceChange,PriceChangeRatio,Volume,TotalVolume,BestBidSize,BestAskSize'</f>
        <v>長興</v>
      </c>
      <c r="B104">
        <v>79.900000000000006</v>
      </c>
      <c r="C104">
        <v>80</v>
      </c>
      <c r="D104">
        <v>79.900000000000006</v>
      </c>
      <c r="E104">
        <v>-1.1000000000000001</v>
      </c>
      <c r="F104">
        <v>-1.36</v>
      </c>
      <c r="G104">
        <v>3735</v>
      </c>
      <c r="H104">
        <v>118910</v>
      </c>
      <c r="I104">
        <v>15</v>
      </c>
      <c r="J104">
        <v>221</v>
      </c>
      <c r="K104">
        <f t="array" ref="K104:P104">[1]!'1717.TW-PreClose,InOutRatio,AvgPrice,Capital,Profit,MarketValue'</f>
        <v>81</v>
      </c>
      <c r="L104">
        <v>43.72</v>
      </c>
      <c r="M104">
        <v>82.27</v>
      </c>
      <c r="N104">
        <v>117.22</v>
      </c>
      <c r="O104">
        <v>0.32</v>
      </c>
      <c r="P104">
        <v>936.6</v>
      </c>
    </row>
    <row r="105" spans="1:16" x14ac:dyDescent="0.25">
      <c r="A105" t="str">
        <f t="array" ref="A105:J105">[1]!'6166.TW-Name,Bid,Ask,Price,PriceChange,PriceChangeRatio,Volume,TotalVolume,BestBidSize,BestAskSize'</f>
        <v>凌華</v>
      </c>
      <c r="B105">
        <v>78.2</v>
      </c>
      <c r="C105">
        <v>78.5</v>
      </c>
      <c r="D105">
        <v>78.5</v>
      </c>
      <c r="E105">
        <v>4.7</v>
      </c>
      <c r="F105">
        <v>6.37</v>
      </c>
      <c r="G105">
        <v>157</v>
      </c>
      <c r="H105">
        <v>3099</v>
      </c>
      <c r="I105">
        <v>3</v>
      </c>
      <c r="J105">
        <v>4</v>
      </c>
      <c r="K105">
        <f t="array" ref="K105:P105">[1]!'6166.TW-PreClose,InOutRatio,AvgPrice,Capital,Profit,MarketValue'</f>
        <v>73.8</v>
      </c>
      <c r="L105">
        <v>52.63</v>
      </c>
      <c r="M105">
        <v>76.64</v>
      </c>
      <c r="N105">
        <v>21.77</v>
      </c>
      <c r="O105">
        <v>0.83</v>
      </c>
      <c r="P105">
        <v>170.8</v>
      </c>
    </row>
    <row r="106" spans="1:16" x14ac:dyDescent="0.25">
      <c r="A106" t="str">
        <f t="array" ref="A106:J106">[1]!'8111.TW-Name,Bid,Ask,Price,PriceChange,PriceChangeRatio,Volume,TotalVolume,BestBidSize,BestAskSize'</f>
        <v>立碁</v>
      </c>
      <c r="B106">
        <v>77.5</v>
      </c>
      <c r="C106">
        <v>77.599999999999994</v>
      </c>
      <c r="D106">
        <v>77.599999999999994</v>
      </c>
      <c r="E106">
        <v>-1.6</v>
      </c>
      <c r="F106">
        <v>-2.02</v>
      </c>
      <c r="G106">
        <v>805</v>
      </c>
      <c r="H106">
        <v>30414</v>
      </c>
      <c r="I106">
        <v>51</v>
      </c>
      <c r="J106">
        <v>7</v>
      </c>
      <c r="K106">
        <f t="array" ref="K106:P106">[1]!'8111.TW-PreClose,InOutRatio,AvgPrice,Capital,Profit,MarketValue'</f>
        <v>79.2</v>
      </c>
      <c r="L106">
        <v>38.86</v>
      </c>
      <c r="M106">
        <v>79.39</v>
      </c>
      <c r="N106">
        <v>10.91</v>
      </c>
      <c r="O106">
        <v>0.33</v>
      </c>
      <c r="P106">
        <v>84.7</v>
      </c>
    </row>
    <row r="107" spans="1:16" x14ac:dyDescent="0.25">
      <c r="A107" t="str">
        <f t="array" ref="A107:J107">[1]!'2402.TW-Name,Bid,Ask,Price,PriceChange,PriceChangeRatio,Volume,TotalVolume,BestBidSize,BestAskSize'</f>
        <v>毅嘉</v>
      </c>
      <c r="B107">
        <v>77.3</v>
      </c>
      <c r="C107">
        <v>77.400000000000006</v>
      </c>
      <c r="D107">
        <v>77.3</v>
      </c>
      <c r="E107">
        <v>-0.4</v>
      </c>
      <c r="F107">
        <v>-0.51</v>
      </c>
      <c r="G107">
        <v>2168</v>
      </c>
      <c r="H107">
        <v>64273</v>
      </c>
      <c r="I107">
        <v>123</v>
      </c>
      <c r="J107">
        <v>45</v>
      </c>
      <c r="K107">
        <f t="array" ref="K107:P107">[1]!'2402.TW-PreClose,InOutRatio,AvgPrice,Capital,Profit,MarketValue'</f>
        <v>77.7</v>
      </c>
      <c r="L107">
        <v>40.11</v>
      </c>
      <c r="M107">
        <v>76.599999999999994</v>
      </c>
      <c r="N107">
        <v>30.75</v>
      </c>
      <c r="O107">
        <v>0.61</v>
      </c>
      <c r="P107">
        <v>237.7</v>
      </c>
    </row>
    <row r="108" spans="1:16" x14ac:dyDescent="0.25">
      <c r="A108" t="str">
        <f t="array" ref="A108:J108">[1]!'2303.TW-Name,Bid,Ask,Price,PriceChange,PriceChangeRatio,Volume,TotalVolume,BestBidSize,BestAskSize'</f>
        <v>聯電</v>
      </c>
      <c r="B108">
        <v>76.8</v>
      </c>
      <c r="C108">
        <v>76.900000000000006</v>
      </c>
      <c r="D108">
        <v>76.900000000000006</v>
      </c>
      <c r="E108">
        <v>3.9</v>
      </c>
      <c r="F108">
        <v>5.34</v>
      </c>
      <c r="G108">
        <v>14120</v>
      </c>
      <c r="H108">
        <v>348728</v>
      </c>
      <c r="I108">
        <v>1357</v>
      </c>
      <c r="J108">
        <v>21</v>
      </c>
      <c r="K108">
        <f t="array" ref="K108:P108">[1]!'2303.TW-PreClose,InOutRatio,AvgPrice,Capital,Profit,MarketValue'</f>
        <v>73</v>
      </c>
      <c r="L108">
        <v>55.14</v>
      </c>
      <c r="M108">
        <v>78.22</v>
      </c>
      <c r="N108">
        <v>1257.8499999999999</v>
      </c>
      <c r="O108">
        <v>0.81</v>
      </c>
      <c r="P108">
        <v>9672.9</v>
      </c>
    </row>
    <row r="109" spans="1:16" x14ac:dyDescent="0.25">
      <c r="A109" t="str">
        <f t="array" ref="A109:J109">[1]!'2478.TW-Name,Bid,Ask,Price,PriceChange,PriceChangeRatio,Volume,TotalVolume,BestBidSize,BestAskSize'</f>
        <v>大毅</v>
      </c>
      <c r="B109">
        <v>75.3</v>
      </c>
      <c r="C109">
        <v>75.400000000000006</v>
      </c>
      <c r="D109">
        <v>75.400000000000006</v>
      </c>
      <c r="E109">
        <v>-1.8</v>
      </c>
      <c r="F109">
        <v>-2.33</v>
      </c>
      <c r="G109">
        <v>275</v>
      </c>
      <c r="H109">
        <v>6305</v>
      </c>
      <c r="I109">
        <v>9</v>
      </c>
      <c r="J109">
        <v>24</v>
      </c>
      <c r="K109">
        <f t="array" ref="K109:P109">[1]!'2478.TW-PreClose,InOutRatio,AvgPrice,Capital,Profit,MarketValue'</f>
        <v>77.2</v>
      </c>
      <c r="L109">
        <v>42.2</v>
      </c>
      <c r="M109">
        <v>75.3</v>
      </c>
      <c r="N109">
        <v>14.47</v>
      </c>
      <c r="O109">
        <v>0.91</v>
      </c>
      <c r="P109">
        <v>109.1</v>
      </c>
    </row>
    <row r="110" spans="1:16" x14ac:dyDescent="0.25">
      <c r="A110" t="str">
        <f t="array" ref="A110:J110">[1]!'3055.TW-Name,Bid,Ask,Price,PriceChange,PriceChangeRatio,Volume,TotalVolume,BestBidSize,BestAskSize'</f>
        <v>蔚華科</v>
      </c>
      <c r="B110">
        <v>75</v>
      </c>
      <c r="C110" t="str">
        <v>--</v>
      </c>
      <c r="D110">
        <v>75</v>
      </c>
      <c r="E110">
        <v>6.8</v>
      </c>
      <c r="F110">
        <v>9.9700000000000006</v>
      </c>
      <c r="G110">
        <v>6</v>
      </c>
      <c r="H110">
        <v>883</v>
      </c>
      <c r="I110">
        <v>483</v>
      </c>
      <c r="J110">
        <v>0</v>
      </c>
      <c r="K110">
        <f t="array" ref="K110:P110">[1]!'3055.TW-PreClose,InOutRatio,AvgPrice,Capital,Profit,MarketValue'</f>
        <v>68.2</v>
      </c>
      <c r="L110">
        <v>97.75</v>
      </c>
      <c r="M110">
        <v>74.42</v>
      </c>
      <c r="N110">
        <v>11.5</v>
      </c>
      <c r="O110">
        <v>-0.95</v>
      </c>
      <c r="P110">
        <v>74</v>
      </c>
    </row>
    <row r="111" spans="1:16" x14ac:dyDescent="0.25">
      <c r="A111" t="str">
        <f t="array" ref="A111:J111">[1]!'3054.TW-Name,Bid,Ask,Price,PriceChange,PriceChangeRatio,Volume,TotalVolume,BestBidSize,BestAskSize'</f>
        <v>立萬利</v>
      </c>
      <c r="B111">
        <v>73.7</v>
      </c>
      <c r="C111">
        <v>73.8</v>
      </c>
      <c r="D111">
        <v>73.8</v>
      </c>
      <c r="E111">
        <v>-1.9</v>
      </c>
      <c r="F111">
        <v>-2.5099999999999998</v>
      </c>
      <c r="G111">
        <v>29</v>
      </c>
      <c r="H111">
        <v>794</v>
      </c>
      <c r="I111">
        <v>4</v>
      </c>
      <c r="J111">
        <v>2</v>
      </c>
      <c r="K111">
        <f t="array" ref="K111:P111">[1]!'3054.TW-PreClose,InOutRatio,AvgPrice,Capital,Profit,MarketValue'</f>
        <v>75.7</v>
      </c>
      <c r="L111">
        <v>37.729999999999997</v>
      </c>
      <c r="M111">
        <v>75.5</v>
      </c>
      <c r="N111">
        <v>8.07</v>
      </c>
      <c r="O111">
        <v>1.3</v>
      </c>
      <c r="P111">
        <v>59.5</v>
      </c>
    </row>
    <row r="112" spans="1:16" x14ac:dyDescent="0.25">
      <c r="A112" t="str">
        <f t="array" ref="A112:J112">[1]!'6994.TW-Name,Bid,Ask,Price,PriceChange,PriceChangeRatio,Volume,TotalVolume,BestBidSize,BestAskSize'</f>
        <v>富威電力</v>
      </c>
      <c r="B112">
        <v>73.599999999999994</v>
      </c>
      <c r="C112">
        <v>74</v>
      </c>
      <c r="D112">
        <v>73.599999999999994</v>
      </c>
      <c r="E112">
        <v>0.2</v>
      </c>
      <c r="F112">
        <v>0.27</v>
      </c>
      <c r="G112">
        <v>104</v>
      </c>
      <c r="H112">
        <v>1178</v>
      </c>
      <c r="I112">
        <v>2</v>
      </c>
      <c r="J112">
        <v>1</v>
      </c>
      <c r="K112">
        <f t="array" ref="K112:P112">[1]!'6994.TW-PreClose,InOutRatio,AvgPrice,Capital,Profit,MarketValue'</f>
        <v>73.400000000000006</v>
      </c>
      <c r="L112">
        <v>43.94</v>
      </c>
      <c r="M112">
        <v>75.53</v>
      </c>
      <c r="N112">
        <v>7.42</v>
      </c>
      <c r="O112">
        <v>5.22</v>
      </c>
      <c r="P112">
        <v>54.3</v>
      </c>
    </row>
    <row r="113" spans="1:16" x14ac:dyDescent="0.25">
      <c r="A113" t="str">
        <f t="array" ref="A113:J113">[1]!'3504.TW-Name,Bid,Ask,Price,PriceChange,PriceChangeRatio,Volume,TotalVolume,BestBidSize,BestAskSize'</f>
        <v>揚明光</v>
      </c>
      <c r="B113">
        <v>71.5</v>
      </c>
      <c r="C113">
        <v>71.599999999999994</v>
      </c>
      <c r="D113">
        <v>71.599999999999994</v>
      </c>
      <c r="E113">
        <v>4.2</v>
      </c>
      <c r="F113">
        <v>6.23</v>
      </c>
      <c r="G113">
        <v>262</v>
      </c>
      <c r="H113">
        <v>6412</v>
      </c>
      <c r="I113">
        <v>8</v>
      </c>
      <c r="J113">
        <v>81</v>
      </c>
      <c r="K113">
        <f t="array" ref="K113:P113">[1]!'3504.TW-PreClose,InOutRatio,AvgPrice,Capital,Profit,MarketValue'</f>
        <v>67.400000000000006</v>
      </c>
      <c r="L113">
        <v>54.84</v>
      </c>
      <c r="M113">
        <v>71.06</v>
      </c>
      <c r="N113">
        <v>11.41</v>
      </c>
      <c r="O113">
        <v>-7.0000000000000007E-2</v>
      </c>
      <c r="P113">
        <v>81.7</v>
      </c>
    </row>
    <row r="114" spans="1:16" x14ac:dyDescent="0.25">
      <c r="A114" t="str">
        <f t="array" ref="A114:J114">[1]!'3673.TW-Name,Bid,Ask,Price,PriceChange,PriceChangeRatio,Volume,TotalVolume,BestBidSize,BestAskSize'</f>
        <v>TPK-KY</v>
      </c>
      <c r="B114">
        <v>71.099999999999994</v>
      </c>
      <c r="C114">
        <v>71.2</v>
      </c>
      <c r="D114">
        <v>71.2</v>
      </c>
      <c r="E114">
        <v>-0.9</v>
      </c>
      <c r="F114">
        <v>-1.25</v>
      </c>
      <c r="G114">
        <v>757</v>
      </c>
      <c r="H114">
        <v>31090</v>
      </c>
      <c r="I114">
        <v>9</v>
      </c>
      <c r="J114">
        <v>37</v>
      </c>
      <c r="K114">
        <f t="array" ref="K114:P114">[1]!'3673.TW-PreClose,InOutRatio,AvgPrice,Capital,Profit,MarketValue'</f>
        <v>72.099999999999994</v>
      </c>
      <c r="L114">
        <v>45.96</v>
      </c>
      <c r="M114">
        <v>70.77</v>
      </c>
      <c r="N114">
        <v>40.67</v>
      </c>
      <c r="O114">
        <v>0.15</v>
      </c>
      <c r="P114">
        <v>289.5</v>
      </c>
    </row>
    <row r="115" spans="1:16" x14ac:dyDescent="0.25">
      <c r="A115" t="str">
        <f t="array" ref="A115:J115">[1]!'8048.TW-Name,Bid,Ask,Price,PriceChange,PriceChangeRatio,Volume,TotalVolume,BestBidSize,BestAskSize'</f>
        <v>德勝</v>
      </c>
      <c r="B115">
        <v>71</v>
      </c>
      <c r="C115" t="str">
        <v>--</v>
      </c>
      <c r="D115">
        <v>71</v>
      </c>
      <c r="E115">
        <v>6.4</v>
      </c>
      <c r="F115">
        <v>9.91</v>
      </c>
      <c r="G115">
        <v>17</v>
      </c>
      <c r="H115">
        <v>2295</v>
      </c>
      <c r="I115">
        <v>225</v>
      </c>
      <c r="J115">
        <v>0</v>
      </c>
      <c r="K115">
        <f t="array" ref="K115:P115">[1]!'8048.TW-PreClose,InOutRatio,AvgPrice,Capital,Profit,MarketValue'</f>
        <v>64.599999999999994</v>
      </c>
      <c r="L115">
        <v>83.99</v>
      </c>
      <c r="M115">
        <v>69.31</v>
      </c>
      <c r="N115">
        <v>5.77</v>
      </c>
      <c r="O115">
        <v>0.99</v>
      </c>
      <c r="P115">
        <v>41</v>
      </c>
    </row>
    <row r="116" spans="1:16" x14ac:dyDescent="0.25">
      <c r="A116" t="str">
        <f t="array" ref="A116:J116">[1]!'1802.TW-Name,Bid,Ask,Price,PriceChange,PriceChangeRatio,Volume,TotalVolume,BestBidSize,BestAskSize'</f>
        <v>台玻</v>
      </c>
      <c r="B116">
        <v>70.900000000000006</v>
      </c>
      <c r="C116">
        <v>71</v>
      </c>
      <c r="D116">
        <v>70.900000000000006</v>
      </c>
      <c r="E116">
        <v>-3.3</v>
      </c>
      <c r="F116">
        <v>-4.45</v>
      </c>
      <c r="G116">
        <v>8959</v>
      </c>
      <c r="H116">
        <v>260419</v>
      </c>
      <c r="I116">
        <v>183</v>
      </c>
      <c r="J116">
        <v>311</v>
      </c>
      <c r="K116">
        <f t="array" ref="K116:P116">[1]!'1802.TW-PreClose,InOutRatio,AvgPrice,Capital,Profit,MarketValue'</f>
        <v>74.2</v>
      </c>
      <c r="L116">
        <v>37.200000000000003</v>
      </c>
      <c r="M116">
        <v>73.180000000000007</v>
      </c>
      <c r="N116">
        <v>290.81</v>
      </c>
      <c r="O116">
        <v>0.13</v>
      </c>
      <c r="P116">
        <v>2061.8000000000002</v>
      </c>
    </row>
    <row r="117" spans="1:16" x14ac:dyDescent="0.25">
      <c r="A117" t="str">
        <f t="array" ref="A117:J117">[1]!'3709.TW-Name,Bid,Ask,Price,PriceChange,PriceChangeRatio,Volume,TotalVolume,BestBidSize,BestAskSize'</f>
        <v>鑫聯大投控</v>
      </c>
      <c r="B117">
        <v>70.3</v>
      </c>
      <c r="C117">
        <v>70.400000000000006</v>
      </c>
      <c r="D117">
        <v>70.3</v>
      </c>
      <c r="E117">
        <v>-1</v>
      </c>
      <c r="F117">
        <v>-1.4</v>
      </c>
      <c r="G117">
        <v>149</v>
      </c>
      <c r="H117">
        <v>2738</v>
      </c>
      <c r="I117">
        <v>6</v>
      </c>
      <c r="J117">
        <v>24</v>
      </c>
      <c r="K117">
        <f t="array" ref="K117:P117">[1]!'3709.TW-PreClose,InOutRatio,AvgPrice,Capital,Profit,MarketValue'</f>
        <v>71.3</v>
      </c>
      <c r="L117">
        <v>27.37</v>
      </c>
      <c r="M117">
        <v>71.16</v>
      </c>
      <c r="N117">
        <v>12.56</v>
      </c>
      <c r="O117">
        <v>3.56</v>
      </c>
      <c r="P117">
        <v>88.3</v>
      </c>
    </row>
    <row r="118" spans="1:16" x14ac:dyDescent="0.25">
      <c r="A118" t="str">
        <f t="array" ref="A118:J118">[1]!'6821.TW-Name,Bid,Ask,Price,PriceChange,PriceChangeRatio,Volume,TotalVolume,BestBidSize,BestAskSize'</f>
        <v>聯寶</v>
      </c>
      <c r="B118">
        <v>68.900000000000006</v>
      </c>
      <c r="C118">
        <v>69</v>
      </c>
      <c r="D118">
        <v>68.900000000000006</v>
      </c>
      <c r="E118">
        <v>1.4</v>
      </c>
      <c r="F118">
        <v>2.0699999999999998</v>
      </c>
      <c r="G118">
        <v>103</v>
      </c>
      <c r="H118">
        <v>4412</v>
      </c>
      <c r="I118">
        <v>2</v>
      </c>
      <c r="J118">
        <v>7</v>
      </c>
      <c r="K118">
        <f t="array" ref="K118:P118">[1]!'6821.TW-PreClose,InOutRatio,AvgPrice,Capital,Profit,MarketValue'</f>
        <v>67.5</v>
      </c>
      <c r="L118">
        <v>50.55</v>
      </c>
      <c r="M118">
        <v>71.959999999999994</v>
      </c>
      <c r="N118">
        <v>3.16</v>
      </c>
      <c r="O118">
        <v>0.17</v>
      </c>
      <c r="P118">
        <v>21.8</v>
      </c>
    </row>
    <row r="119" spans="1:16" x14ac:dyDescent="0.25">
      <c r="A119" t="str">
        <f t="array" ref="A119:J119">[1]!'8383.TW-Name,Bid,Ask,Price,PriceChange,PriceChangeRatio,Volume,TotalVolume,BestBidSize,BestAskSize'</f>
        <v>千附</v>
      </c>
      <c r="B119">
        <v>68.599999999999994</v>
      </c>
      <c r="C119" t="str">
        <v>--</v>
      </c>
      <c r="D119">
        <v>68.599999999999994</v>
      </c>
      <c r="E119">
        <v>6.2</v>
      </c>
      <c r="F119">
        <v>9.94</v>
      </c>
      <c r="G119">
        <v>21</v>
      </c>
      <c r="H119">
        <v>5137</v>
      </c>
      <c r="I119">
        <v>3809</v>
      </c>
      <c r="J119">
        <v>0</v>
      </c>
      <c r="K119">
        <f t="array" ref="K119:P119">[1]!'8383.TW-PreClose,InOutRatio,AvgPrice,Capital,Profit,MarketValue'</f>
        <v>62.4</v>
      </c>
      <c r="L119">
        <v>62.25</v>
      </c>
      <c r="M119">
        <v>67.180000000000007</v>
      </c>
      <c r="N119">
        <v>11.38</v>
      </c>
      <c r="O119">
        <v>1.52</v>
      </c>
      <c r="P119">
        <v>78</v>
      </c>
    </row>
    <row r="120" spans="1:16" x14ac:dyDescent="0.25">
      <c r="A120" t="str">
        <f t="array" ref="A120:J120">[1]!'3701.TW-Name,Bid,Ask,Price,PriceChange,PriceChangeRatio,Volume,TotalVolume,BestBidSize,BestAskSize'</f>
        <v>大眾控</v>
      </c>
      <c r="B120">
        <v>67.2</v>
      </c>
      <c r="C120">
        <v>67.3</v>
      </c>
      <c r="D120">
        <v>67.2</v>
      </c>
      <c r="E120">
        <v>1.3</v>
      </c>
      <c r="F120">
        <v>1.97</v>
      </c>
      <c r="G120">
        <v>642</v>
      </c>
      <c r="H120">
        <v>15191</v>
      </c>
      <c r="I120">
        <v>14</v>
      </c>
      <c r="J120">
        <v>17</v>
      </c>
      <c r="K120">
        <f t="array" ref="K120:P120">[1]!'3701.TW-PreClose,InOutRatio,AvgPrice,Capital,Profit,MarketValue'</f>
        <v>65.900000000000006</v>
      </c>
      <c r="L120">
        <v>51.15</v>
      </c>
      <c r="M120">
        <v>67.36</v>
      </c>
      <c r="N120">
        <v>23.66</v>
      </c>
      <c r="O120">
        <v>-1.48</v>
      </c>
      <c r="P120">
        <v>159</v>
      </c>
    </row>
    <row r="121" spans="1:16" x14ac:dyDescent="0.25">
      <c r="A121" t="str">
        <f t="array" ref="A121:J121">[1]!'6909.TW-Name,Bid,Ask,Price,PriceChange,PriceChangeRatio,Volume,TotalVolume,BestBidSize,BestAskSize'</f>
        <v>創控</v>
      </c>
      <c r="B121">
        <v>66.8</v>
      </c>
      <c r="C121">
        <v>66.900000000000006</v>
      </c>
      <c r="D121">
        <v>66.8</v>
      </c>
      <c r="E121">
        <v>1.9</v>
      </c>
      <c r="F121">
        <v>2.93</v>
      </c>
      <c r="G121">
        <v>421</v>
      </c>
      <c r="H121">
        <v>10571</v>
      </c>
      <c r="I121">
        <v>26</v>
      </c>
      <c r="J121">
        <v>17</v>
      </c>
      <c r="K121">
        <f t="array" ref="K121:P121">[1]!'6909.TW-PreClose,InOutRatio,AvgPrice,Capital,Profit,MarketValue'</f>
        <v>64.900000000000006</v>
      </c>
      <c r="L121">
        <v>44.98</v>
      </c>
      <c r="M121">
        <v>66.77</v>
      </c>
      <c r="N121">
        <v>6.72</v>
      </c>
      <c r="O121">
        <v>0.96</v>
      </c>
      <c r="P121">
        <v>44.9</v>
      </c>
    </row>
    <row r="122" spans="1:16" x14ac:dyDescent="0.25">
      <c r="A122" t="str">
        <f t="array" ref="A122:J122">[1]!'3339.TW-Name,Bid,Ask,Price,PriceChange,PriceChangeRatio,Volume,TotalVolume,BestBidSize,BestAskSize'</f>
        <v>泰谷</v>
      </c>
      <c r="B122">
        <v>66.3</v>
      </c>
      <c r="C122">
        <v>66.400000000000006</v>
      </c>
      <c r="D122">
        <v>66.3</v>
      </c>
      <c r="E122">
        <v>-3</v>
      </c>
      <c r="F122">
        <v>-4.33</v>
      </c>
      <c r="G122">
        <v>168</v>
      </c>
      <c r="H122">
        <v>4188</v>
      </c>
      <c r="I122">
        <v>7</v>
      </c>
      <c r="J122">
        <v>1</v>
      </c>
      <c r="K122">
        <f t="array" ref="K122:P122">[1]!'3339.TW-PreClose,InOutRatio,AvgPrice,Capital,Profit,MarketValue'</f>
        <v>69.3</v>
      </c>
      <c r="L122">
        <v>38.770000000000003</v>
      </c>
      <c r="M122">
        <v>66.34</v>
      </c>
      <c r="N122">
        <v>6.66</v>
      </c>
      <c r="O122">
        <v>-0.43</v>
      </c>
      <c r="P122">
        <v>44.1</v>
      </c>
    </row>
    <row r="123" spans="1:16" x14ac:dyDescent="0.25">
      <c r="A123" t="str">
        <f t="array" ref="A123:J123">[1]!'2388.TW-Name,Bid,Ask,Price,PriceChange,PriceChangeRatio,Volume,TotalVolume,BestBidSize,BestAskSize'</f>
        <v>威盛</v>
      </c>
      <c r="B123">
        <v>66.2</v>
      </c>
      <c r="C123">
        <v>66.3</v>
      </c>
      <c r="D123">
        <v>66.2</v>
      </c>
      <c r="E123">
        <v>0.9</v>
      </c>
      <c r="F123">
        <v>1.38</v>
      </c>
      <c r="G123">
        <v>708</v>
      </c>
      <c r="H123">
        <v>21008</v>
      </c>
      <c r="I123">
        <v>38</v>
      </c>
      <c r="J123">
        <v>51</v>
      </c>
      <c r="K123">
        <f t="array" ref="K123:P123">[1]!'2388.TW-PreClose,InOutRatio,AvgPrice,Capital,Profit,MarketValue'</f>
        <v>65.3</v>
      </c>
      <c r="L123">
        <v>48.54</v>
      </c>
      <c r="M123">
        <v>65.209999999999994</v>
      </c>
      <c r="N123">
        <v>55.59</v>
      </c>
      <c r="O123">
        <v>1.22</v>
      </c>
      <c r="P123">
        <v>367.9</v>
      </c>
    </row>
    <row r="124" spans="1:16" x14ac:dyDescent="0.25">
      <c r="A124" t="str">
        <f t="array" ref="A124:J124">[1]!'5425.TW-Name,Bid,Ask,Price,PriceChange,PriceChangeRatio,Volume,TotalVolume,BestBidSize,BestAskSize'</f>
        <v>台半</v>
      </c>
      <c r="B124">
        <v>62.2</v>
      </c>
      <c r="C124">
        <v>62.3</v>
      </c>
      <c r="D124">
        <v>62.2</v>
      </c>
      <c r="E124">
        <v>-3.5</v>
      </c>
      <c r="F124">
        <v>-5.33</v>
      </c>
      <c r="G124">
        <v>948</v>
      </c>
      <c r="H124">
        <v>18511</v>
      </c>
      <c r="I124">
        <v>73</v>
      </c>
      <c r="J124">
        <v>65</v>
      </c>
      <c r="K124">
        <f t="array" ref="K124:P124">[1]!'5425.TW-PreClose,InOutRatio,AvgPrice,Capital,Profit,MarketValue'</f>
        <v>65.7</v>
      </c>
      <c r="L124">
        <v>40.69</v>
      </c>
      <c r="M124">
        <v>62.83</v>
      </c>
      <c r="N124">
        <v>26.35</v>
      </c>
      <c r="O124">
        <v>0.84</v>
      </c>
      <c r="P124">
        <v>163.9</v>
      </c>
    </row>
    <row r="125" spans="1:16" x14ac:dyDescent="0.25">
      <c r="A125" t="str">
        <f t="array" ref="A125:J125">[1]!'6224.TW-Name,Bid,Ask,Price,PriceChange,PriceChangeRatio,Volume,TotalVolume,BestBidSize,BestAskSize'</f>
        <v>聚鼎</v>
      </c>
      <c r="B125">
        <v>59.8</v>
      </c>
      <c r="C125">
        <v>59.9</v>
      </c>
      <c r="D125">
        <v>59.8</v>
      </c>
      <c r="E125">
        <v>-1.3</v>
      </c>
      <c r="F125">
        <v>-2.13</v>
      </c>
      <c r="G125">
        <v>43</v>
      </c>
      <c r="H125">
        <v>715</v>
      </c>
      <c r="I125">
        <v>1</v>
      </c>
      <c r="J125">
        <v>21</v>
      </c>
      <c r="K125">
        <f t="array" ref="K125:P125">[1]!'6224.TW-PreClose,InOutRatio,AvgPrice,Capital,Profit,MarketValue'</f>
        <v>61.1</v>
      </c>
      <c r="L125">
        <v>37.44</v>
      </c>
      <c r="M125">
        <v>60.23</v>
      </c>
      <c r="N125">
        <v>8.56</v>
      </c>
      <c r="O125">
        <v>-0.31</v>
      </c>
      <c r="P125">
        <v>51.2</v>
      </c>
    </row>
    <row r="126" spans="1:16" x14ac:dyDescent="0.25">
      <c r="A126" t="str">
        <f t="array" ref="A126:J126">[1]!'4540.TW-Name,Bid,Ask,Price,PriceChange,PriceChangeRatio,Volume,TotalVolume,BestBidSize,BestAskSize'</f>
        <v>全球傳動</v>
      </c>
      <c r="B126">
        <v>58.5</v>
      </c>
      <c r="C126">
        <v>58.8</v>
      </c>
      <c r="D126">
        <v>58.8</v>
      </c>
      <c r="E126">
        <v>0.9</v>
      </c>
      <c r="F126">
        <v>1.55</v>
      </c>
      <c r="G126">
        <v>533</v>
      </c>
      <c r="H126">
        <v>13280</v>
      </c>
      <c r="I126">
        <v>3</v>
      </c>
      <c r="J126">
        <v>60</v>
      </c>
      <c r="K126">
        <f t="array" ref="K126:P126">[1]!'4540.TW-PreClose,InOutRatio,AvgPrice,Capital,Profit,MarketValue'</f>
        <v>57.9</v>
      </c>
      <c r="L126">
        <v>47.35</v>
      </c>
      <c r="M126">
        <v>58.3</v>
      </c>
      <c r="N126">
        <v>11.52</v>
      </c>
      <c r="O126">
        <v>0.41</v>
      </c>
      <c r="P126">
        <v>67.7</v>
      </c>
    </row>
    <row r="127" spans="1:16" x14ac:dyDescent="0.25">
      <c r="A127" t="str">
        <f t="array" ref="A127:J127">[1]!'3707.TW-Name,Bid,Ask,Price,PriceChange,PriceChangeRatio,Volume,TotalVolume,BestBidSize,BestAskSize'</f>
        <v>漢磊</v>
      </c>
      <c r="B127">
        <v>57.9</v>
      </c>
      <c r="C127">
        <v>58</v>
      </c>
      <c r="D127">
        <v>57.9</v>
      </c>
      <c r="E127">
        <v>1.7</v>
      </c>
      <c r="F127">
        <v>3.02</v>
      </c>
      <c r="G127">
        <v>426</v>
      </c>
      <c r="H127">
        <v>9569</v>
      </c>
      <c r="I127">
        <v>51</v>
      </c>
      <c r="J127">
        <v>5</v>
      </c>
      <c r="K127">
        <f t="array" ref="K127:P127">[1]!'3707.TW-PreClose,InOutRatio,AvgPrice,Capital,Profit,MarketValue'</f>
        <v>56.2</v>
      </c>
      <c r="L127">
        <v>49.98</v>
      </c>
      <c r="M127">
        <v>58.63</v>
      </c>
      <c r="N127">
        <v>39.65</v>
      </c>
      <c r="O127">
        <v>-0.48</v>
      </c>
      <c r="P127">
        <v>229</v>
      </c>
    </row>
    <row r="128" spans="1:16" x14ac:dyDescent="0.25">
      <c r="A128" t="str">
        <f t="array" ref="A128:J128">[1]!'6548.TW-Name,Bid,Ask,Price,PriceChange,PriceChangeRatio,Volume,TotalVolume,BestBidSize,BestAskSize'</f>
        <v>長科*</v>
      </c>
      <c r="B128">
        <v>55.6</v>
      </c>
      <c r="C128">
        <v>55.7</v>
      </c>
      <c r="D128">
        <v>55.7</v>
      </c>
      <c r="E128">
        <v>1</v>
      </c>
      <c r="F128">
        <v>1.83</v>
      </c>
      <c r="G128">
        <v>1217</v>
      </c>
      <c r="H128">
        <v>31846</v>
      </c>
      <c r="I128">
        <v>4</v>
      </c>
      <c r="J128">
        <v>62</v>
      </c>
      <c r="K128">
        <f t="array" ref="K128:P128">[1]!'6548.TW-PreClose,InOutRatio,AvgPrice,Capital,Profit,MarketValue'</f>
        <v>54.7</v>
      </c>
      <c r="L128">
        <v>44.68</v>
      </c>
      <c r="M128">
        <v>56.37</v>
      </c>
      <c r="N128">
        <v>3.8</v>
      </c>
      <c r="O128">
        <v>0.51</v>
      </c>
      <c r="P128">
        <v>529.4</v>
      </c>
    </row>
    <row r="129" spans="1:16" x14ac:dyDescent="0.25">
      <c r="A129" t="str">
        <f t="array" ref="A129:J129">[1]!'2363.TW-Name,Bid,Ask,Price,PriceChange,PriceChangeRatio,Volume,TotalVolume,BestBidSize,BestAskSize'</f>
        <v>矽統</v>
      </c>
      <c r="B129">
        <v>55.5</v>
      </c>
      <c r="C129">
        <v>55.6</v>
      </c>
      <c r="D129">
        <v>55.6</v>
      </c>
      <c r="E129">
        <v>1.2</v>
      </c>
      <c r="F129">
        <v>2.21</v>
      </c>
      <c r="G129">
        <v>796</v>
      </c>
      <c r="H129">
        <v>26757</v>
      </c>
      <c r="I129">
        <v>59</v>
      </c>
      <c r="J129">
        <v>67</v>
      </c>
      <c r="K129">
        <f t="array" ref="K129:P129">[1]!'2363.TW-PreClose,InOutRatio,AvgPrice,Capital,Profit,MarketValue'</f>
        <v>54.4</v>
      </c>
      <c r="L129">
        <v>52.17</v>
      </c>
      <c r="M129">
        <v>57.18</v>
      </c>
      <c r="N129">
        <v>51.5</v>
      </c>
      <c r="O129">
        <v>7.0000000000000007E-2</v>
      </c>
      <c r="P129">
        <v>286.3</v>
      </c>
    </row>
    <row r="130" spans="1:16" x14ac:dyDescent="0.25">
      <c r="A130" t="str">
        <f t="array" ref="A130:J130">[1]!'4956.TW-Name,Bid,Ask,Price,PriceChange,PriceChangeRatio,Volume,TotalVolume,BestBidSize,BestAskSize'</f>
        <v>光鋐</v>
      </c>
      <c r="B130">
        <v>54.7</v>
      </c>
      <c r="C130" t="str">
        <v>--</v>
      </c>
      <c r="D130">
        <v>54.7</v>
      </c>
      <c r="E130">
        <v>4.95</v>
      </c>
      <c r="F130">
        <v>9.9499999999999993</v>
      </c>
      <c r="G130">
        <v>11</v>
      </c>
      <c r="H130">
        <v>1376</v>
      </c>
      <c r="I130">
        <v>3554</v>
      </c>
      <c r="J130">
        <v>0</v>
      </c>
      <c r="K130">
        <f t="array" ref="K130:P130">[1]!'4956.TW-PreClose,InOutRatio,AvgPrice,Capital,Profit,MarketValue'</f>
        <v>49.75</v>
      </c>
      <c r="L130">
        <v>100</v>
      </c>
      <c r="M130">
        <v>54.7</v>
      </c>
      <c r="N130">
        <v>10.039999999999999</v>
      </c>
      <c r="O130">
        <v>0.23</v>
      </c>
      <c r="P130">
        <v>54.9</v>
      </c>
    </row>
    <row r="131" spans="1:16" x14ac:dyDescent="0.25">
      <c r="A131" t="str">
        <f t="array" ref="A131:J131">[1]!'8289.TW-Name,Bid,Ask,Price,PriceChange,PriceChangeRatio,Volume,TotalVolume,BestBidSize,BestAskSize'</f>
        <v>泰藝</v>
      </c>
      <c r="B131">
        <v>54.6</v>
      </c>
      <c r="C131" t="str">
        <v>--</v>
      </c>
      <c r="D131">
        <v>54.6</v>
      </c>
      <c r="E131">
        <v>4.95</v>
      </c>
      <c r="F131">
        <v>9.9700000000000006</v>
      </c>
      <c r="G131">
        <v>14</v>
      </c>
      <c r="H131">
        <v>11349</v>
      </c>
      <c r="I131">
        <v>896</v>
      </c>
      <c r="J131">
        <v>0</v>
      </c>
      <c r="K131">
        <f t="array" ref="K131:P131">[1]!'8289.TW-PreClose,InOutRatio,AvgPrice,Capital,Profit,MarketValue'</f>
        <v>49.65</v>
      </c>
      <c r="L131">
        <v>67.61</v>
      </c>
      <c r="M131">
        <v>53.5</v>
      </c>
      <c r="N131">
        <v>6.83</v>
      </c>
      <c r="O131">
        <v>0.28000000000000003</v>
      </c>
      <c r="P131">
        <v>37.299999999999997</v>
      </c>
    </row>
    <row r="132" spans="1:16" x14ac:dyDescent="0.25">
      <c r="A132" t="str">
        <f t="array" ref="A132:J132">[1]!'3317.TW-Name,Bid,Ask,Price,PriceChange,PriceChangeRatio,Volume,TotalVolume,BestBidSize,BestAskSize'</f>
        <v>尼克森</v>
      </c>
      <c r="B132">
        <v>54.1</v>
      </c>
      <c r="C132">
        <v>54.2</v>
      </c>
      <c r="D132">
        <v>54.1</v>
      </c>
      <c r="E132">
        <v>-0.5</v>
      </c>
      <c r="F132">
        <v>-0.92</v>
      </c>
      <c r="G132">
        <v>297</v>
      </c>
      <c r="H132">
        <v>5433</v>
      </c>
      <c r="I132">
        <v>24</v>
      </c>
      <c r="J132">
        <v>24</v>
      </c>
      <c r="K132">
        <f t="array" ref="K132:P132">[1]!'3317.TW-PreClose,InOutRatio,AvgPrice,Capital,Profit,MarketValue'</f>
        <v>54.6</v>
      </c>
      <c r="L132">
        <v>36.659999999999997</v>
      </c>
      <c r="M132">
        <v>55.31</v>
      </c>
      <c r="N132">
        <v>9</v>
      </c>
      <c r="O132">
        <v>-0.17</v>
      </c>
      <c r="P132">
        <v>48.7</v>
      </c>
    </row>
    <row r="133" spans="1:16" x14ac:dyDescent="0.25">
      <c r="A133" t="str">
        <f t="array" ref="A133:J133">[1]!'6465.TW-Name,Bid,Ask,Price,PriceChange,PriceChangeRatio,Volume,TotalVolume,BestBidSize,BestAskSize'</f>
        <v>威潤</v>
      </c>
      <c r="B133">
        <v>53.9</v>
      </c>
      <c r="C133" t="str">
        <v>--</v>
      </c>
      <c r="D133">
        <v>53.9</v>
      </c>
      <c r="E133">
        <v>4.8499999999999996</v>
      </c>
      <c r="F133">
        <v>9.89</v>
      </c>
      <c r="G133">
        <v>5</v>
      </c>
      <c r="H133">
        <v>1097</v>
      </c>
      <c r="I133">
        <v>93</v>
      </c>
      <c r="J133">
        <v>0</v>
      </c>
      <c r="K133">
        <f t="array" ref="K133:P133">[1]!'6465.TW-PreClose,InOutRatio,AvgPrice,Capital,Profit,MarketValue'</f>
        <v>49.05</v>
      </c>
      <c r="L133">
        <v>84.58</v>
      </c>
      <c r="M133">
        <v>53.54</v>
      </c>
      <c r="N133">
        <v>4.71</v>
      </c>
      <c r="O133">
        <v>1.61</v>
      </c>
      <c r="P133">
        <v>25.4</v>
      </c>
    </row>
    <row r="134" spans="1:16" x14ac:dyDescent="0.25">
      <c r="A134" t="str">
        <f t="array" ref="A134:J134">[1]!'1711.TW-Name,Bid,Ask,Price,PriceChange,PriceChangeRatio,Volume,TotalVolume,BestBidSize,BestAskSize'</f>
        <v>永光</v>
      </c>
      <c r="B134">
        <v>52.7</v>
      </c>
      <c r="C134" t="str">
        <v>--</v>
      </c>
      <c r="D134">
        <v>52.7</v>
      </c>
      <c r="E134">
        <v>4.75</v>
      </c>
      <c r="F134">
        <v>9.91</v>
      </c>
      <c r="G134">
        <v>63</v>
      </c>
      <c r="H134">
        <v>9637</v>
      </c>
      <c r="I134">
        <v>52082</v>
      </c>
      <c r="J134">
        <v>0</v>
      </c>
      <c r="K134">
        <f t="array" ref="K134:P134">[1]!'1711.TW-PreClose,InOutRatio,AvgPrice,Capital,Profit,MarketValue'</f>
        <v>47.95</v>
      </c>
      <c r="L134">
        <v>99</v>
      </c>
      <c r="M134">
        <v>52.66</v>
      </c>
      <c r="N134">
        <v>54.78</v>
      </c>
      <c r="O134">
        <v>-0.04</v>
      </c>
      <c r="P134">
        <v>288.7</v>
      </c>
    </row>
    <row r="135" spans="1:16" x14ac:dyDescent="0.25">
      <c r="A135" t="str">
        <f t="array" ref="A135:J135">[1]!'4927.TW-Name,Bid,Ask,Price,PriceChange,PriceChangeRatio,Volume,TotalVolume,BestBidSize,BestAskSize'</f>
        <v>泰鼎-KY</v>
      </c>
      <c r="B135">
        <v>52.2</v>
      </c>
      <c r="C135">
        <v>52.3</v>
      </c>
      <c r="D135">
        <v>52.2</v>
      </c>
      <c r="E135">
        <v>2.1</v>
      </c>
      <c r="F135">
        <v>4.1900000000000004</v>
      </c>
      <c r="G135">
        <v>1003</v>
      </c>
      <c r="H135">
        <v>26664</v>
      </c>
      <c r="I135">
        <v>166</v>
      </c>
      <c r="J135">
        <v>24</v>
      </c>
      <c r="K135">
        <f t="array" ref="K135:P135">[1]!'4927.TW-PreClose,InOutRatio,AvgPrice,Capital,Profit,MarketValue'</f>
        <v>50.1</v>
      </c>
      <c r="L135">
        <v>48.39</v>
      </c>
      <c r="M135">
        <v>50.63</v>
      </c>
      <c r="N135">
        <v>26.49</v>
      </c>
      <c r="O135">
        <v>-3.97</v>
      </c>
      <c r="P135">
        <v>138.30000000000001</v>
      </c>
    </row>
    <row r="136" spans="1:16" x14ac:dyDescent="0.25">
      <c r="A136" t="str">
        <f t="array" ref="A136:J136">[1]!'3594.TW-Name,Bid,Ask,Price,PriceChange,PriceChangeRatio,Volume,TotalVolume,BestBidSize,BestAskSize'</f>
        <v>磐儀</v>
      </c>
      <c r="B136">
        <v>51.7</v>
      </c>
      <c r="C136" t="str">
        <v>--</v>
      </c>
      <c r="D136">
        <v>51.7</v>
      </c>
      <c r="E136">
        <v>4.7</v>
      </c>
      <c r="F136">
        <v>10</v>
      </c>
      <c r="G136">
        <v>1</v>
      </c>
      <c r="H136">
        <v>1112</v>
      </c>
      <c r="I136">
        <v>742</v>
      </c>
      <c r="J136">
        <v>0</v>
      </c>
      <c r="K136">
        <f t="array" ref="K136:P136">[1]!'3594.TW-PreClose,InOutRatio,AvgPrice,Capital,Profit,MarketValue'</f>
        <v>47</v>
      </c>
      <c r="L136">
        <v>99.22</v>
      </c>
      <c r="M136">
        <v>51.54</v>
      </c>
      <c r="N136">
        <v>9.59</v>
      </c>
      <c r="O136">
        <v>0.54</v>
      </c>
      <c r="P136">
        <v>49.6</v>
      </c>
    </row>
    <row r="137" spans="1:16" x14ac:dyDescent="0.25">
      <c r="A137" t="str">
        <f t="array" ref="A137:J137">[1]!'5244.TW-Name,Bid,Ask,Price,PriceChange,PriceChangeRatio,Volume,TotalVolume,BestBidSize,BestAskSize'</f>
        <v>弘凱</v>
      </c>
      <c r="B137">
        <v>50.8</v>
      </c>
      <c r="C137" t="str">
        <v>--</v>
      </c>
      <c r="D137">
        <v>50.8</v>
      </c>
      <c r="E137">
        <v>4.5999999999999996</v>
      </c>
      <c r="F137">
        <v>9.9600000000000009</v>
      </c>
      <c r="G137">
        <v>23</v>
      </c>
      <c r="H137">
        <v>7773</v>
      </c>
      <c r="I137">
        <v>2683</v>
      </c>
      <c r="J137">
        <v>0</v>
      </c>
      <c r="K137">
        <f t="array" ref="K137:P137">[1]!'5244.TW-PreClose,InOutRatio,AvgPrice,Capital,Profit,MarketValue'</f>
        <v>46.2</v>
      </c>
      <c r="L137">
        <v>74.349999999999994</v>
      </c>
      <c r="M137">
        <v>50.41</v>
      </c>
      <c r="N137">
        <v>6.82</v>
      </c>
      <c r="O137">
        <v>-0.14000000000000001</v>
      </c>
      <c r="P137">
        <v>34.700000000000003</v>
      </c>
    </row>
    <row r="138" spans="1:16" x14ac:dyDescent="0.25">
      <c r="A138" t="str">
        <f t="array" ref="A138:J138">[1]!'3545.TW-Name,Bid,Ask,Price,PriceChange,PriceChangeRatio,Volume,TotalVolume,BestBidSize,BestAskSize'</f>
        <v>敦泰</v>
      </c>
      <c r="B138">
        <v>50.2</v>
      </c>
      <c r="C138">
        <v>50.3</v>
      </c>
      <c r="D138">
        <v>50.2</v>
      </c>
      <c r="E138">
        <v>-1.7</v>
      </c>
      <c r="F138">
        <v>-3.28</v>
      </c>
      <c r="G138">
        <v>92</v>
      </c>
      <c r="H138">
        <v>1912</v>
      </c>
      <c r="I138">
        <v>3</v>
      </c>
      <c r="J138">
        <v>17</v>
      </c>
      <c r="K138">
        <f t="array" ref="K138:P138">[1]!'3545.TW-PreClose,InOutRatio,AvgPrice,Capital,Profit,MarketValue'</f>
        <v>51.9</v>
      </c>
      <c r="L138">
        <v>31.2</v>
      </c>
      <c r="M138">
        <v>50.96</v>
      </c>
      <c r="N138">
        <v>22.12</v>
      </c>
      <c r="O138">
        <v>-6.19</v>
      </c>
      <c r="P138">
        <v>111.1</v>
      </c>
    </row>
    <row r="139" spans="1:16" x14ac:dyDescent="0.25">
      <c r="A139" t="str">
        <f t="array" ref="A139:J139">[1]!'2070.TW-Name,Bid,Ask,Price,PriceChange,PriceChangeRatio,Volume,TotalVolume,BestBidSize,BestAskSize'</f>
        <v>精湛</v>
      </c>
      <c r="B139">
        <v>50.2</v>
      </c>
      <c r="C139" t="str">
        <v>--</v>
      </c>
      <c r="D139">
        <v>50.2</v>
      </c>
      <c r="E139">
        <v>4.55</v>
      </c>
      <c r="F139">
        <v>9.9700000000000006</v>
      </c>
      <c r="G139">
        <v>2</v>
      </c>
      <c r="H139">
        <v>1120</v>
      </c>
      <c r="I139">
        <v>272</v>
      </c>
      <c r="J139">
        <v>0</v>
      </c>
      <c r="K139">
        <f t="array" ref="K139:P139">[1]!'2070.TW-PreClose,InOutRatio,AvgPrice,Capital,Profit,MarketValue'</f>
        <v>45.65</v>
      </c>
      <c r="L139">
        <v>77.31</v>
      </c>
      <c r="M139">
        <v>50.06</v>
      </c>
      <c r="N139">
        <v>4.18</v>
      </c>
      <c r="O139">
        <v>1.05</v>
      </c>
      <c r="P139">
        <v>21</v>
      </c>
    </row>
    <row r="140" spans="1:16" x14ac:dyDescent="0.25">
      <c r="A140" t="str">
        <f t="array" ref="A140:J140">[1]!'8088.TW-Name,Bid,Ask,Price,PriceChange,PriceChangeRatio,Volume,TotalVolume,BestBidSize,BestAskSize'</f>
        <v>品安</v>
      </c>
      <c r="B140">
        <v>50.1</v>
      </c>
      <c r="C140">
        <v>50.2</v>
      </c>
      <c r="D140">
        <v>50.1</v>
      </c>
      <c r="E140">
        <v>-0.5</v>
      </c>
      <c r="F140">
        <v>-0.99</v>
      </c>
      <c r="G140">
        <v>94</v>
      </c>
      <c r="H140">
        <v>1583</v>
      </c>
      <c r="I140">
        <v>35</v>
      </c>
      <c r="J140">
        <v>11</v>
      </c>
      <c r="K140">
        <f t="array" ref="K140:P140">[1]!'8088.TW-PreClose,InOutRatio,AvgPrice,Capital,Profit,MarketValue'</f>
        <v>50.6</v>
      </c>
      <c r="L140">
        <v>35.53</v>
      </c>
      <c r="M140">
        <v>50.6</v>
      </c>
      <c r="N140">
        <v>6.09</v>
      </c>
      <c r="O140">
        <v>1.41</v>
      </c>
      <c r="P140">
        <v>30.5</v>
      </c>
    </row>
    <row r="141" spans="1:16" x14ac:dyDescent="0.25">
      <c r="A141" t="str">
        <f t="array" ref="A141:J141">[1]!'2338.TW-Name,Bid,Ask,Price,PriceChange,PriceChangeRatio,Volume,TotalVolume,BestBidSize,BestAskSize'</f>
        <v>光罩</v>
      </c>
      <c r="B141">
        <v>49.9</v>
      </c>
      <c r="C141">
        <v>49.95</v>
      </c>
      <c r="D141">
        <v>49.9</v>
      </c>
      <c r="E141">
        <v>-1</v>
      </c>
      <c r="F141">
        <v>-1.96</v>
      </c>
      <c r="G141">
        <v>511</v>
      </c>
      <c r="H141">
        <v>22959</v>
      </c>
      <c r="I141">
        <v>195</v>
      </c>
      <c r="J141">
        <v>12</v>
      </c>
      <c r="K141">
        <f t="array" ref="K141:P141">[1]!'2338.TW-PreClose,InOutRatio,AvgPrice,Capital,Profit,MarketValue'</f>
        <v>50.9</v>
      </c>
      <c r="L141">
        <v>42.11</v>
      </c>
      <c r="M141">
        <v>51.14</v>
      </c>
      <c r="N141">
        <v>36.68</v>
      </c>
      <c r="O141">
        <v>-1.51</v>
      </c>
      <c r="P141">
        <v>183.1</v>
      </c>
    </row>
    <row r="142" spans="1:16" x14ac:dyDescent="0.25">
      <c r="A142" t="str">
        <f t="array" ref="A142:J142">[1]!'8070.TW-Name,Bid,Ask,Price,PriceChange,PriceChangeRatio,Volume,TotalVolume,BestBidSize,BestAskSize'</f>
        <v>長華*</v>
      </c>
      <c r="B142">
        <v>48.45</v>
      </c>
      <c r="C142">
        <v>48.5</v>
      </c>
      <c r="D142">
        <v>48.5</v>
      </c>
      <c r="E142">
        <v>0.2</v>
      </c>
      <c r="F142">
        <v>0.41</v>
      </c>
      <c r="G142">
        <v>293</v>
      </c>
      <c r="H142">
        <v>5563</v>
      </c>
      <c r="I142">
        <v>26</v>
      </c>
      <c r="J142">
        <v>41</v>
      </c>
      <c r="K142">
        <f t="array" ref="K142:P142">[1]!'8070.TW-PreClose,InOutRatio,AvgPrice,Capital,Profit,MarketValue'</f>
        <v>48.3</v>
      </c>
      <c r="L142">
        <v>58.8</v>
      </c>
      <c r="M142">
        <v>48.84</v>
      </c>
      <c r="N142">
        <v>7.26</v>
      </c>
      <c r="O142">
        <v>-0.47</v>
      </c>
      <c r="P142">
        <v>351.9</v>
      </c>
    </row>
    <row r="143" spans="1:16" x14ac:dyDescent="0.25">
      <c r="A143" t="str">
        <f t="array" ref="A143:J143">[1]!'2484.TW-Name,Bid,Ask,Price,PriceChange,PriceChangeRatio,Volume,TotalVolume,BestBidSize,BestAskSize'</f>
        <v>希華</v>
      </c>
      <c r="B143">
        <v>46.6</v>
      </c>
      <c r="C143" t="str">
        <v>--</v>
      </c>
      <c r="D143">
        <v>46.6</v>
      </c>
      <c r="E143">
        <v>4.2</v>
      </c>
      <c r="F143">
        <v>9.91</v>
      </c>
      <c r="G143">
        <v>25</v>
      </c>
      <c r="H143">
        <v>27452</v>
      </c>
      <c r="I143">
        <v>1462</v>
      </c>
      <c r="J143">
        <v>0</v>
      </c>
      <c r="K143">
        <f t="array" ref="K143:P143">[1]!'2484.TW-PreClose,InOutRatio,AvgPrice,Capital,Profit,MarketValue'</f>
        <v>42.4</v>
      </c>
      <c r="L143">
        <v>67.84</v>
      </c>
      <c r="M143">
        <v>46.15</v>
      </c>
      <c r="N143">
        <v>15.94</v>
      </c>
      <c r="O143">
        <v>0.39</v>
      </c>
      <c r="P143">
        <v>74.3</v>
      </c>
    </row>
    <row r="144" spans="1:16" x14ac:dyDescent="0.25">
      <c r="A144" t="str">
        <f t="array" ref="A144:J144">[1]!'6432.TW-Name,Bid,Ask,Price,PriceChange,PriceChangeRatio,Volume,TotalVolume,BestBidSize,BestAskSize'</f>
        <v>今展科</v>
      </c>
      <c r="B144">
        <v>44.75</v>
      </c>
      <c r="C144" t="str">
        <v>--</v>
      </c>
      <c r="D144">
        <v>44.75</v>
      </c>
      <c r="E144">
        <v>4.05</v>
      </c>
      <c r="F144">
        <v>9.9499999999999993</v>
      </c>
      <c r="G144">
        <v>13</v>
      </c>
      <c r="H144">
        <v>1525</v>
      </c>
      <c r="I144">
        <v>351</v>
      </c>
      <c r="J144">
        <v>0</v>
      </c>
      <c r="K144">
        <f t="array" ref="K144:P144">[1]!'6432.TW-PreClose,InOutRatio,AvgPrice,Capital,Profit,MarketValue'</f>
        <v>40.700000000000003</v>
      </c>
      <c r="L144">
        <v>87.14</v>
      </c>
      <c r="M144">
        <v>44.47</v>
      </c>
      <c r="N144">
        <v>3.44</v>
      </c>
      <c r="O144">
        <v>0.37</v>
      </c>
      <c r="P144">
        <v>14.9</v>
      </c>
    </row>
    <row r="145" spans="1:16" x14ac:dyDescent="0.25">
      <c r="A145" t="str">
        <f t="array" ref="A145:J145">[1]!'8942.TW-Name,Bid,Ask,Price,PriceChange,PriceChangeRatio,Volume,TotalVolume,BestBidSize,BestAskSize'</f>
        <v>森鉅</v>
      </c>
      <c r="B145">
        <v>44.6</v>
      </c>
      <c r="C145">
        <v>44.85</v>
      </c>
      <c r="D145">
        <v>44.6</v>
      </c>
      <c r="E145">
        <v>-0.25</v>
      </c>
      <c r="F145">
        <v>-0.56000000000000005</v>
      </c>
      <c r="G145">
        <v>23</v>
      </c>
      <c r="H145">
        <v>568</v>
      </c>
      <c r="I145">
        <v>2</v>
      </c>
      <c r="J145">
        <v>5</v>
      </c>
      <c r="K145">
        <f t="array" ref="K145:P145">[1]!'8942.TW-PreClose,InOutRatio,AvgPrice,Capital,Profit,MarketValue'</f>
        <v>44.85</v>
      </c>
      <c r="L145">
        <v>31.99</v>
      </c>
      <c r="M145">
        <v>45.06</v>
      </c>
      <c r="N145">
        <v>19.88</v>
      </c>
      <c r="O145">
        <v>0.09</v>
      </c>
      <c r="P145">
        <v>88.7</v>
      </c>
    </row>
    <row r="146" spans="1:16" x14ac:dyDescent="0.25">
      <c r="A146" t="str">
        <f t="array" ref="A146:J146">[1]!'8182.TW-Name,Bid,Ask,Price,PriceChange,PriceChangeRatio,Volume,TotalVolume,BestBidSize,BestAskSize'</f>
        <v>加高</v>
      </c>
      <c r="B146">
        <v>42.95</v>
      </c>
      <c r="C146" t="str">
        <v>--</v>
      </c>
      <c r="D146">
        <v>42.95</v>
      </c>
      <c r="E146">
        <v>3.9</v>
      </c>
      <c r="F146">
        <v>9.99</v>
      </c>
      <c r="G146">
        <v>4</v>
      </c>
      <c r="H146">
        <v>7590</v>
      </c>
      <c r="I146">
        <v>249</v>
      </c>
      <c r="J146">
        <v>0</v>
      </c>
      <c r="K146">
        <f t="array" ref="K146:P146">[1]!'8182.TW-PreClose,InOutRatio,AvgPrice,Capital,Profit,MarketValue'</f>
        <v>39.049999999999997</v>
      </c>
      <c r="L146">
        <v>64.44</v>
      </c>
      <c r="M146">
        <v>41.91</v>
      </c>
      <c r="N146">
        <v>10.7</v>
      </c>
      <c r="O146">
        <v>0.39</v>
      </c>
      <c r="P146">
        <v>46</v>
      </c>
    </row>
    <row r="147" spans="1:16" x14ac:dyDescent="0.25">
      <c r="A147" t="str">
        <f t="array" ref="A147:J147">[1]!'3230.TW-Name,Bid,Ask,Price,PriceChange,PriceChangeRatio,Volume,TotalVolume,BestBidSize,BestAskSize'</f>
        <v>錦明</v>
      </c>
      <c r="B147">
        <v>42.75</v>
      </c>
      <c r="C147">
        <v>42.8</v>
      </c>
      <c r="D147">
        <v>42.8</v>
      </c>
      <c r="E147">
        <v>-0.55000000000000004</v>
      </c>
      <c r="F147">
        <v>-1.27</v>
      </c>
      <c r="G147">
        <v>115</v>
      </c>
      <c r="H147">
        <v>3324</v>
      </c>
      <c r="I147">
        <v>8</v>
      </c>
      <c r="J147">
        <v>1</v>
      </c>
      <c r="K147">
        <f t="array" ref="K147:P147">[1]!'3230.TW-PreClose,InOutRatio,AvgPrice,Capital,Profit,MarketValue'</f>
        <v>43.35</v>
      </c>
      <c r="L147">
        <v>31.5</v>
      </c>
      <c r="M147">
        <v>44.32</v>
      </c>
      <c r="N147">
        <v>8.6</v>
      </c>
      <c r="O147">
        <v>-0.44</v>
      </c>
      <c r="P147">
        <v>36.799999999999997</v>
      </c>
    </row>
    <row r="148" spans="1:16" x14ac:dyDescent="0.25">
      <c r="A148" t="str">
        <f t="array" ref="A148:J148">[1]!'8104.TW-Name,Bid,Ask,Price,PriceChange,PriceChangeRatio,Volume,TotalVolume,BestBidSize,BestAskSize'</f>
        <v>錸寶</v>
      </c>
      <c r="B148">
        <v>38.65</v>
      </c>
      <c r="C148">
        <v>38.700000000000003</v>
      </c>
      <c r="D148">
        <v>38.700000000000003</v>
      </c>
      <c r="E148">
        <v>-1.3</v>
      </c>
      <c r="F148">
        <v>-3.25</v>
      </c>
      <c r="G148">
        <v>106</v>
      </c>
      <c r="H148">
        <v>3134</v>
      </c>
      <c r="I148">
        <v>13</v>
      </c>
      <c r="J148">
        <v>4</v>
      </c>
      <c r="K148">
        <f t="array" ref="K148:P148">[1]!'8104.TW-PreClose,InOutRatio,AvgPrice,Capital,Profit,MarketValue'</f>
        <v>40</v>
      </c>
      <c r="L148">
        <v>37.94</v>
      </c>
      <c r="M148">
        <v>39.42</v>
      </c>
      <c r="N148">
        <v>10.41</v>
      </c>
      <c r="O148">
        <v>-0.69</v>
      </c>
      <c r="P148">
        <v>40.299999999999997</v>
      </c>
    </row>
    <row r="149" spans="1:16" x14ac:dyDescent="0.25">
      <c r="A149" t="str">
        <f t="array" ref="A149:J149">[1]!'4960.TW-Name,Bid,Ask,Price,PriceChange,PriceChangeRatio,Volume,TotalVolume,BestBidSize,BestAskSize'</f>
        <v>誠美材</v>
      </c>
      <c r="B149">
        <v>37.200000000000003</v>
      </c>
      <c r="C149" t="str">
        <v>--</v>
      </c>
      <c r="D149">
        <v>37.200000000000003</v>
      </c>
      <c r="E149">
        <v>3.35</v>
      </c>
      <c r="F149">
        <v>9.9</v>
      </c>
      <c r="G149">
        <v>66</v>
      </c>
      <c r="H149">
        <v>8866</v>
      </c>
      <c r="I149">
        <v>2685</v>
      </c>
      <c r="J149">
        <v>0</v>
      </c>
      <c r="K149">
        <f t="array" ref="K149:P149">[1]!'4960.TW-PreClose,InOutRatio,AvgPrice,Capital,Profit,MarketValue'</f>
        <v>33.85</v>
      </c>
      <c r="L149">
        <v>100</v>
      </c>
      <c r="M149">
        <v>37.200000000000003</v>
      </c>
      <c r="N149">
        <v>57.17</v>
      </c>
      <c r="O149">
        <v>-0.46</v>
      </c>
      <c r="P149">
        <v>212.7</v>
      </c>
    </row>
    <row r="150" spans="1:16" x14ac:dyDescent="0.25">
      <c r="A150" t="str">
        <f t="array" ref="A150:J150">[1]!'8183.TW-Name,Bid,Ask,Price,PriceChange,PriceChangeRatio,Volume,TotalVolume,BestBidSize,BestAskSize'</f>
        <v>精星</v>
      </c>
      <c r="B150">
        <v>36.9</v>
      </c>
      <c r="C150">
        <v>36.950000000000003</v>
      </c>
      <c r="D150">
        <v>36.9</v>
      </c>
      <c r="E150">
        <v>0.05</v>
      </c>
      <c r="F150">
        <v>0.14000000000000001</v>
      </c>
      <c r="G150">
        <v>40</v>
      </c>
      <c r="H150">
        <v>877</v>
      </c>
      <c r="I150">
        <v>10</v>
      </c>
      <c r="J150">
        <v>1</v>
      </c>
      <c r="K150">
        <f t="array" ref="K150:P150">[1]!'8183.TW-PreClose,InOutRatio,AvgPrice,Capital,Profit,MarketValue'</f>
        <v>36.85</v>
      </c>
      <c r="L150">
        <v>37.659999999999997</v>
      </c>
      <c r="M150">
        <v>36.700000000000003</v>
      </c>
      <c r="N150">
        <v>12.13</v>
      </c>
      <c r="O150">
        <v>1.43</v>
      </c>
      <c r="P150">
        <v>44.7</v>
      </c>
    </row>
    <row r="151" spans="1:16" x14ac:dyDescent="0.25">
      <c r="A151" t="str">
        <f t="array" ref="A151:J151">[1]!'5228.TW-Name,Bid,Ask,Price,PriceChange,PriceChangeRatio,Volume,TotalVolume,BestBidSize,BestAskSize'</f>
        <v>鈺鎧</v>
      </c>
      <c r="B151">
        <v>36.65</v>
      </c>
      <c r="C151">
        <v>37</v>
      </c>
      <c r="D151">
        <v>36.65</v>
      </c>
      <c r="E151">
        <v>-0.45</v>
      </c>
      <c r="F151">
        <v>-1.21</v>
      </c>
      <c r="G151">
        <v>55</v>
      </c>
      <c r="H151">
        <v>1404</v>
      </c>
      <c r="I151">
        <v>1</v>
      </c>
      <c r="J151">
        <v>18</v>
      </c>
      <c r="K151">
        <f t="array" ref="K151:P151">[1]!'5228.TW-PreClose,InOutRatio,AvgPrice,Capital,Profit,MarketValue'</f>
        <v>37.1</v>
      </c>
      <c r="L151">
        <v>36.35</v>
      </c>
      <c r="M151">
        <v>38.22</v>
      </c>
      <c r="N151">
        <v>3.81</v>
      </c>
      <c r="O151">
        <v>0.71</v>
      </c>
      <c r="P151">
        <v>13.9</v>
      </c>
    </row>
    <row r="152" spans="1:16" x14ac:dyDescent="0.25">
      <c r="A152" t="str">
        <f t="array" ref="A152:J152">[1]!'3615.TW-Name,Bid,Ask,Price,PriceChange,PriceChangeRatio,Volume,TotalVolume,BestBidSize,BestAskSize'</f>
        <v>安可</v>
      </c>
      <c r="B152">
        <v>36.049999999999997</v>
      </c>
      <c r="C152">
        <v>36.1</v>
      </c>
      <c r="D152">
        <v>36.1</v>
      </c>
      <c r="E152">
        <v>1.2</v>
      </c>
      <c r="F152">
        <v>3.44</v>
      </c>
      <c r="G152">
        <v>281</v>
      </c>
      <c r="H152">
        <v>7686</v>
      </c>
      <c r="I152">
        <v>15</v>
      </c>
      <c r="J152">
        <v>1</v>
      </c>
      <c r="K152">
        <f t="array" ref="K152:P152">[1]!'3615.TW-PreClose,InOutRatio,AvgPrice,Capital,Profit,MarketValue'</f>
        <v>34.9</v>
      </c>
      <c r="L152">
        <v>44.06</v>
      </c>
      <c r="M152">
        <v>36.26</v>
      </c>
      <c r="N152">
        <v>6.85</v>
      </c>
      <c r="O152">
        <v>0.28000000000000003</v>
      </c>
      <c r="P152">
        <v>24.7</v>
      </c>
    </row>
    <row r="153" spans="1:16" x14ac:dyDescent="0.25">
      <c r="A153" t="str">
        <f t="array" ref="A153:J153">[1]!'2365.TW-Name,Bid,Ask,Price,PriceChange,PriceChangeRatio,Volume,TotalVolume,BestBidSize,BestAskSize'</f>
        <v>昆盈</v>
      </c>
      <c r="B153">
        <v>35.15</v>
      </c>
      <c r="C153">
        <v>35.200000000000003</v>
      </c>
      <c r="D153">
        <v>35.15</v>
      </c>
      <c r="E153">
        <v>0.25</v>
      </c>
      <c r="F153">
        <v>0.72</v>
      </c>
      <c r="G153">
        <v>221</v>
      </c>
      <c r="H153">
        <v>11883</v>
      </c>
      <c r="I153">
        <v>18</v>
      </c>
      <c r="J153">
        <v>53</v>
      </c>
      <c r="K153">
        <f t="array" ref="K153:P153">[1]!'2365.TW-PreClose,InOutRatio,AvgPrice,Capital,Profit,MarketValue'</f>
        <v>34.9</v>
      </c>
      <c r="L153">
        <v>54.11</v>
      </c>
      <c r="M153">
        <v>35.57</v>
      </c>
      <c r="N153">
        <v>22.15</v>
      </c>
      <c r="O153">
        <v>0.1</v>
      </c>
      <c r="P153">
        <v>77.900000000000006</v>
      </c>
    </row>
    <row r="154" spans="1:16" x14ac:dyDescent="0.25">
      <c r="A154" t="str">
        <f t="array" ref="A154:J154">[1]!'3685.TW-Name,Bid,Ask,Price,PriceChange,PriceChangeRatio,Volume,TotalVolume,BestBidSize,BestAskSize'</f>
        <v>元創精密</v>
      </c>
      <c r="B154">
        <v>35</v>
      </c>
      <c r="C154">
        <v>35.049999999999997</v>
      </c>
      <c r="D154">
        <v>35.049999999999997</v>
      </c>
      <c r="E154">
        <v>0.6</v>
      </c>
      <c r="F154">
        <v>1.74</v>
      </c>
      <c r="G154">
        <v>5</v>
      </c>
      <c r="H154">
        <v>888</v>
      </c>
      <c r="I154">
        <v>14</v>
      </c>
      <c r="J154">
        <v>3</v>
      </c>
      <c r="K154">
        <f t="array" ref="K154:P154">[1]!'3685.TW-PreClose,InOutRatio,AvgPrice,Capital,Profit,MarketValue'</f>
        <v>34.450000000000003</v>
      </c>
      <c r="L154">
        <v>40.869999999999997</v>
      </c>
      <c r="M154">
        <v>35.49</v>
      </c>
      <c r="N154">
        <v>7.96</v>
      </c>
      <c r="O154">
        <v>-0.4</v>
      </c>
      <c r="P154">
        <v>27.9</v>
      </c>
    </row>
    <row r="155" spans="1:16" x14ac:dyDescent="0.25">
      <c r="A155" t="str">
        <f t="array" ref="A155:J155">[1]!'3092.TW-Name,Bid,Ask,Price,PriceChange,PriceChangeRatio,Volume,TotalVolume,BestBidSize,BestAskSize'</f>
        <v>鴻碩</v>
      </c>
      <c r="B155">
        <v>34.6</v>
      </c>
      <c r="C155">
        <v>34.65</v>
      </c>
      <c r="D155">
        <v>34.6</v>
      </c>
      <c r="E155">
        <v>-0.7</v>
      </c>
      <c r="F155">
        <v>-1.98</v>
      </c>
      <c r="G155">
        <v>83</v>
      </c>
      <c r="H155">
        <v>2538</v>
      </c>
      <c r="I155">
        <v>1</v>
      </c>
      <c r="J155">
        <v>7</v>
      </c>
      <c r="K155">
        <f t="array" ref="K155:P155">[1]!'3092.TW-PreClose,InOutRatio,AvgPrice,Capital,Profit,MarketValue'</f>
        <v>35.299999999999997</v>
      </c>
      <c r="L155">
        <v>36.46</v>
      </c>
      <c r="M155">
        <v>35.14</v>
      </c>
      <c r="N155">
        <v>10.66</v>
      </c>
      <c r="O155">
        <v>-0.83</v>
      </c>
      <c r="P155">
        <v>36.9</v>
      </c>
    </row>
    <row r="156" spans="1:16" x14ac:dyDescent="0.25">
      <c r="A156" t="str">
        <f t="array" ref="A156:J156">[1]!'6141.TW-Name,Bid,Ask,Price,PriceChange,PriceChangeRatio,Volume,TotalVolume,BestBidSize,BestAskSize'</f>
        <v>柏承</v>
      </c>
      <c r="B156">
        <v>34.299999999999997</v>
      </c>
      <c r="C156" t="str">
        <v>--</v>
      </c>
      <c r="D156">
        <v>34.299999999999997</v>
      </c>
      <c r="E156">
        <v>3.1</v>
      </c>
      <c r="F156">
        <v>9.94</v>
      </c>
      <c r="G156">
        <v>14</v>
      </c>
      <c r="H156">
        <v>10648</v>
      </c>
      <c r="I156">
        <v>452</v>
      </c>
      <c r="J156">
        <v>0</v>
      </c>
      <c r="K156">
        <f t="array" ref="K156:P156">[1]!'6141.TW-PreClose,InOutRatio,AvgPrice,Capital,Profit,MarketValue'</f>
        <v>31.2</v>
      </c>
      <c r="L156">
        <v>61.58</v>
      </c>
      <c r="M156">
        <v>33.74</v>
      </c>
      <c r="N156">
        <v>11.34</v>
      </c>
      <c r="O156">
        <v>-2.66</v>
      </c>
      <c r="P156">
        <v>38.9</v>
      </c>
    </row>
    <row r="157" spans="1:16" x14ac:dyDescent="0.25">
      <c r="A157" t="str">
        <f t="array" ref="A157:J157">[1]!'4556.TW-Name,Bid,Ask,Price,PriceChange,PriceChangeRatio,Volume,TotalVolume,BestBidSize,BestAskSize'</f>
        <v>旭然</v>
      </c>
      <c r="B157">
        <v>32</v>
      </c>
      <c r="C157">
        <v>32.200000000000003</v>
      </c>
      <c r="D157">
        <v>32</v>
      </c>
      <c r="E157">
        <v>-0.75</v>
      </c>
      <c r="F157">
        <v>-2.29</v>
      </c>
      <c r="G157">
        <v>45</v>
      </c>
      <c r="H157">
        <v>1833</v>
      </c>
      <c r="I157">
        <v>2</v>
      </c>
      <c r="J157">
        <v>5</v>
      </c>
      <c r="K157">
        <f t="array" ref="K157:P157">[1]!'4556.TW-PreClose,InOutRatio,AvgPrice,Capital,Profit,MarketValue'</f>
        <v>32.75</v>
      </c>
      <c r="L157">
        <v>34.69</v>
      </c>
      <c r="M157">
        <v>34.270000000000003</v>
      </c>
      <c r="N157">
        <v>4.2300000000000004</v>
      </c>
      <c r="O157">
        <v>0.43</v>
      </c>
      <c r="P157">
        <v>13.5</v>
      </c>
    </row>
    <row r="158" spans="1:16" x14ac:dyDescent="0.25">
      <c r="A158" t="str">
        <f t="array" ref="A158:J158">[1]!'6174.TW-Name,Bid,Ask,Price,PriceChange,PriceChangeRatio,Volume,TotalVolume,BestBidSize,BestAskSize'</f>
        <v>安碁</v>
      </c>
      <c r="B158">
        <v>30.1</v>
      </c>
      <c r="C158">
        <v>30.2</v>
      </c>
      <c r="D158">
        <v>30.2</v>
      </c>
      <c r="E158">
        <v>2.7</v>
      </c>
      <c r="F158">
        <v>9.82</v>
      </c>
      <c r="G158">
        <v>19</v>
      </c>
      <c r="H158">
        <v>3708</v>
      </c>
      <c r="I158">
        <v>2</v>
      </c>
      <c r="J158">
        <v>3</v>
      </c>
      <c r="K158">
        <f t="array" ref="K158:P158">[1]!'6174.TW-PreClose,InOutRatio,AvgPrice,Capital,Profit,MarketValue'</f>
        <v>27.5</v>
      </c>
      <c r="L158">
        <v>69.319999999999993</v>
      </c>
      <c r="M158">
        <v>29.59</v>
      </c>
      <c r="N158">
        <v>5</v>
      </c>
      <c r="O158">
        <v>0.26</v>
      </c>
      <c r="P158">
        <v>15.1</v>
      </c>
    </row>
    <row r="159" spans="1:16" x14ac:dyDescent="0.25">
      <c r="A159" t="str">
        <f t="array" ref="A159:J159">[1]!'3437.TW-Name,Bid,Ask,Price,PriceChange,PriceChangeRatio,Volume,TotalVolume,BestBidSize,BestAskSize'</f>
        <v>榮創</v>
      </c>
      <c r="B159">
        <v>29.9</v>
      </c>
      <c r="C159" t="str">
        <v>--</v>
      </c>
      <c r="D159">
        <v>29.9</v>
      </c>
      <c r="E159">
        <v>2.7</v>
      </c>
      <c r="F159">
        <v>9.93</v>
      </c>
      <c r="G159">
        <v>6</v>
      </c>
      <c r="H159">
        <v>8580</v>
      </c>
      <c r="I159">
        <v>4066</v>
      </c>
      <c r="J159">
        <v>0</v>
      </c>
      <c r="K159">
        <f t="array" ref="K159:P159">[1]!'3437.TW-PreClose,InOutRatio,AvgPrice,Capital,Profit,MarketValue'</f>
        <v>27.2</v>
      </c>
      <c r="L159">
        <v>88.8</v>
      </c>
      <c r="M159">
        <v>29.87</v>
      </c>
      <c r="N159">
        <v>14.45</v>
      </c>
      <c r="O159">
        <v>-0.62</v>
      </c>
      <c r="P159">
        <v>43.2</v>
      </c>
    </row>
    <row r="160" spans="1:16" x14ac:dyDescent="0.25">
      <c r="A160" t="str">
        <f t="array" ref="A160:J160">[1]!'6168.TW-Name,Bid,Ask,Price,PriceChange,PriceChangeRatio,Volume,TotalVolume,BestBidSize,BestAskSize'</f>
        <v>宏齊</v>
      </c>
      <c r="B160">
        <v>29.9</v>
      </c>
      <c r="C160">
        <v>29.95</v>
      </c>
      <c r="D160">
        <v>29.95</v>
      </c>
      <c r="E160">
        <v>1.1499999999999999</v>
      </c>
      <c r="F160">
        <v>3.99</v>
      </c>
      <c r="G160">
        <v>873</v>
      </c>
      <c r="H160">
        <v>19407</v>
      </c>
      <c r="I160">
        <v>6</v>
      </c>
      <c r="J160">
        <v>28</v>
      </c>
      <c r="K160">
        <f t="array" ref="K160:P160">[1]!'6168.TW-PreClose,InOutRatio,AvgPrice,Capital,Profit,MarketValue'</f>
        <v>28.8</v>
      </c>
      <c r="L160">
        <v>47.27</v>
      </c>
      <c r="M160">
        <v>30.01</v>
      </c>
      <c r="N160">
        <v>20.58</v>
      </c>
      <c r="O160">
        <v>0.01</v>
      </c>
      <c r="P160">
        <v>61.7</v>
      </c>
    </row>
    <row r="161" spans="1:16" x14ac:dyDescent="0.25">
      <c r="A161" t="str">
        <f t="array" ref="A161:J161">[1]!'3518.TW-Name,Bid,Ask,Price,PriceChange,PriceChangeRatio,Volume,TotalVolume,BestBidSize,BestAskSize'</f>
        <v>柏騰</v>
      </c>
      <c r="B161">
        <v>29.75</v>
      </c>
      <c r="C161" t="str">
        <v>--</v>
      </c>
      <c r="D161">
        <v>29.75</v>
      </c>
      <c r="E161">
        <v>2.7</v>
      </c>
      <c r="F161">
        <v>9.98</v>
      </c>
      <c r="G161">
        <v>5</v>
      </c>
      <c r="H161">
        <v>1527</v>
      </c>
      <c r="I161">
        <v>1157</v>
      </c>
      <c r="J161">
        <v>0</v>
      </c>
      <c r="K161">
        <f t="array" ref="K161:P161">[1]!'3518.TW-PreClose,InOutRatio,AvgPrice,Capital,Profit,MarketValue'</f>
        <v>27.05</v>
      </c>
      <c r="L161">
        <v>91.99</v>
      </c>
      <c r="M161">
        <v>29.53</v>
      </c>
      <c r="N161">
        <v>10.36</v>
      </c>
      <c r="O161">
        <v>-0.63</v>
      </c>
      <c r="P161">
        <v>29.1</v>
      </c>
    </row>
    <row r="162" spans="1:16" x14ac:dyDescent="0.25">
      <c r="A162" t="str">
        <f t="array" ref="A162:J162">[1]!'1442.TW-Name,Bid,Ask,Price,PriceChange,PriceChangeRatio,Volume,TotalVolume,BestBidSize,BestAskSize'</f>
        <v>名軒</v>
      </c>
      <c r="B162">
        <v>29.1</v>
      </c>
      <c r="C162">
        <v>29.7</v>
      </c>
      <c r="D162">
        <v>29.7</v>
      </c>
      <c r="E162">
        <v>0.7</v>
      </c>
      <c r="F162">
        <v>2.41</v>
      </c>
      <c r="G162">
        <v>337</v>
      </c>
      <c r="H162">
        <v>2431</v>
      </c>
      <c r="I162">
        <v>3</v>
      </c>
      <c r="J162">
        <v>3</v>
      </c>
      <c r="K162">
        <f t="array" ref="K162:P162">[1]!'1442.TW-PreClose,InOutRatio,AvgPrice,Capital,Profit,MarketValue'</f>
        <v>29</v>
      </c>
      <c r="L162">
        <v>53.07</v>
      </c>
      <c r="M162">
        <v>29.29</v>
      </c>
      <c r="N162">
        <v>36.619999999999997</v>
      </c>
      <c r="O162">
        <v>0.53</v>
      </c>
      <c r="P162">
        <v>108.8</v>
      </c>
    </row>
    <row r="163" spans="1:16" x14ac:dyDescent="0.25">
      <c r="A163" t="str">
        <f t="array" ref="A163:J163">[1]!'8121.TW-Name,Bid,Ask,Price,PriceChange,PriceChangeRatio,Volume,TotalVolume,BestBidSize,BestAskSize'</f>
        <v>越峰</v>
      </c>
      <c r="B163">
        <v>28.5</v>
      </c>
      <c r="C163">
        <v>28.6</v>
      </c>
      <c r="D163">
        <v>28.5</v>
      </c>
      <c r="E163">
        <v>-0.85</v>
      </c>
      <c r="F163">
        <v>-2.9</v>
      </c>
      <c r="G163">
        <v>25</v>
      </c>
      <c r="H163">
        <v>1746</v>
      </c>
      <c r="I163">
        <v>19</v>
      </c>
      <c r="J163">
        <v>1</v>
      </c>
      <c r="K163">
        <f t="array" ref="K163:P163">[1]!'8121.TW-PreClose,InOutRatio,AvgPrice,Capital,Profit,MarketValue'</f>
        <v>29.35</v>
      </c>
      <c r="L163">
        <v>37.840000000000003</v>
      </c>
      <c r="M163">
        <v>29.3</v>
      </c>
      <c r="N163">
        <v>21.3</v>
      </c>
      <c r="O163">
        <v>0.09</v>
      </c>
      <c r="P163">
        <v>60.7</v>
      </c>
    </row>
    <row r="164" spans="1:16" x14ac:dyDescent="0.25">
      <c r="A164" t="str">
        <f t="array" ref="A164:J164">[1]!'3591.TW-Name,Bid,Ask,Price,PriceChange,PriceChangeRatio,Volume,TotalVolume,BestBidSize,BestAskSize'</f>
        <v>艾笛森</v>
      </c>
      <c r="B164">
        <v>27.2</v>
      </c>
      <c r="C164" t="str">
        <v>--</v>
      </c>
      <c r="D164">
        <v>27.2</v>
      </c>
      <c r="E164">
        <v>2.4500000000000002</v>
      </c>
      <c r="F164">
        <v>9.9</v>
      </c>
      <c r="G164">
        <v>2</v>
      </c>
      <c r="H164">
        <v>4132</v>
      </c>
      <c r="I164">
        <v>3349</v>
      </c>
      <c r="J164">
        <v>0</v>
      </c>
      <c r="K164">
        <f t="array" ref="K164:P164">[1]!'3591.TW-PreClose,InOutRatio,AvgPrice,Capital,Profit,MarketValue'</f>
        <v>24.75</v>
      </c>
      <c r="L164">
        <v>84.9</v>
      </c>
      <c r="M164">
        <v>26.96</v>
      </c>
      <c r="N164">
        <v>14.54</v>
      </c>
      <c r="O164">
        <v>-0.13</v>
      </c>
      <c r="P164">
        <v>39.5</v>
      </c>
    </row>
    <row r="165" spans="1:16" x14ac:dyDescent="0.25">
      <c r="A165" t="str">
        <f t="array" ref="A165:J165">[1]!'8215.TW-Name,Bid,Ask,Price,PriceChange,PriceChangeRatio,Volume,TotalVolume,BestBidSize,BestAskSize'</f>
        <v>明基材</v>
      </c>
      <c r="B165">
        <v>26.55</v>
      </c>
      <c r="C165">
        <v>26.6</v>
      </c>
      <c r="D165">
        <v>26.55</v>
      </c>
      <c r="E165">
        <v>-2.7</v>
      </c>
      <c r="F165">
        <v>-9.23</v>
      </c>
      <c r="G165">
        <v>261</v>
      </c>
      <c r="H165">
        <v>13002</v>
      </c>
      <c r="I165">
        <v>38</v>
      </c>
      <c r="J165">
        <v>14</v>
      </c>
      <c r="K165">
        <f t="array" ref="K165:P165">[1]!'8215.TW-PreClose,InOutRatio,AvgPrice,Capital,Profit,MarketValue'</f>
        <v>29.25</v>
      </c>
      <c r="L165">
        <v>32.71</v>
      </c>
      <c r="M165">
        <v>27.13</v>
      </c>
      <c r="N165">
        <v>32.07</v>
      </c>
      <c r="O165">
        <v>-1.02</v>
      </c>
      <c r="P165">
        <v>85.1</v>
      </c>
    </row>
    <row r="166" spans="1:16" x14ac:dyDescent="0.25">
      <c r="A166" t="str">
        <f t="array" ref="A166:J166">[1]!'6603.TW-Name,Bid,Ask,Price,PriceChange,PriceChangeRatio,Volume,TotalVolume,BestBidSize,BestAskSize'</f>
        <v>富強鑫</v>
      </c>
      <c r="B166">
        <v>25.2</v>
      </c>
      <c r="C166">
        <v>25.3</v>
      </c>
      <c r="D166">
        <v>25.2</v>
      </c>
      <c r="E166">
        <v>-0.25</v>
      </c>
      <c r="F166">
        <v>-0.98</v>
      </c>
      <c r="G166">
        <v>265</v>
      </c>
      <c r="H166">
        <v>7555</v>
      </c>
      <c r="I166">
        <v>3</v>
      </c>
      <c r="J166">
        <v>7</v>
      </c>
      <c r="K166">
        <f t="array" ref="K166:P166">[1]!'6603.TW-PreClose,InOutRatio,AvgPrice,Capital,Profit,MarketValue'</f>
        <v>25.45</v>
      </c>
      <c r="L166">
        <v>35.35</v>
      </c>
      <c r="M166">
        <v>25.68</v>
      </c>
      <c r="N166">
        <v>16.739999999999998</v>
      </c>
      <c r="O166">
        <v>0.34</v>
      </c>
      <c r="P166">
        <v>42.2</v>
      </c>
    </row>
    <row r="167" spans="1:16" x14ac:dyDescent="0.25">
      <c r="A167" t="str">
        <f t="array" ref="A167:J167">[1]!'4720.TW-Name,Bid,Ask,Price,PriceChange,PriceChangeRatio,Volume,TotalVolume,BestBidSize,BestAskSize'</f>
        <v>德淵</v>
      </c>
      <c r="B167">
        <v>24.3</v>
      </c>
      <c r="C167" t="str">
        <v>--</v>
      </c>
      <c r="D167">
        <v>24.3</v>
      </c>
      <c r="E167">
        <v>2.2000000000000002</v>
      </c>
      <c r="F167">
        <v>9.9499999999999993</v>
      </c>
      <c r="G167">
        <v>13</v>
      </c>
      <c r="H167">
        <v>9295</v>
      </c>
      <c r="I167">
        <v>2780</v>
      </c>
      <c r="J167">
        <v>0</v>
      </c>
      <c r="K167">
        <f t="array" ref="K167:P167">[1]!'4720.TW-PreClose,InOutRatio,AvgPrice,Capital,Profit,MarketValue'</f>
        <v>22.1</v>
      </c>
      <c r="L167">
        <v>68.55</v>
      </c>
      <c r="M167">
        <v>23.26</v>
      </c>
      <c r="N167">
        <v>11.45</v>
      </c>
      <c r="O167">
        <v>0.19</v>
      </c>
      <c r="P167">
        <v>27.8</v>
      </c>
    </row>
    <row r="168" spans="1:16" x14ac:dyDescent="0.25">
      <c r="A168" t="str">
        <f t="array" ref="A168:J168">[1]!'2401.TW-Name,Bid,Ask,Price,PriceChange,PriceChangeRatio,Volume,TotalVolume,BestBidSize,BestAskSize'</f>
        <v>凌陽</v>
      </c>
      <c r="B168">
        <v>24.2</v>
      </c>
      <c r="C168">
        <v>24.25</v>
      </c>
      <c r="D168">
        <v>24.2</v>
      </c>
      <c r="E168">
        <v>0.55000000000000004</v>
      </c>
      <c r="F168">
        <v>2.33</v>
      </c>
      <c r="G168">
        <v>474</v>
      </c>
      <c r="H168">
        <v>28404</v>
      </c>
      <c r="I168">
        <v>36</v>
      </c>
      <c r="J168">
        <v>50</v>
      </c>
      <c r="K168">
        <f t="array" ref="K168:P168">[1]!'2401.TW-PreClose,InOutRatio,AvgPrice,Capital,Profit,MarketValue'</f>
        <v>23.65</v>
      </c>
      <c r="L168">
        <v>57.8</v>
      </c>
      <c r="M168">
        <v>24.95</v>
      </c>
      <c r="N168">
        <v>59.2</v>
      </c>
      <c r="O168">
        <v>-0.11</v>
      </c>
      <c r="P168">
        <v>143.30000000000001</v>
      </c>
    </row>
    <row r="169" spans="1:16" x14ac:dyDescent="0.25">
      <c r="A169" t="str">
        <f t="array" ref="A169:J169">[1]!'8068.TW-Name,Bid,Ask,Price,PriceChange,PriceChangeRatio,Volume,TotalVolume,BestBidSize,BestAskSize'</f>
        <v>全達</v>
      </c>
      <c r="B169">
        <v>23.45</v>
      </c>
      <c r="C169">
        <v>23.6</v>
      </c>
      <c r="D169">
        <v>23.45</v>
      </c>
      <c r="E169">
        <v>-0.8</v>
      </c>
      <c r="F169">
        <v>-3.3</v>
      </c>
      <c r="G169">
        <v>31</v>
      </c>
      <c r="H169">
        <v>677</v>
      </c>
      <c r="I169">
        <v>5</v>
      </c>
      <c r="J169">
        <v>6</v>
      </c>
      <c r="K169">
        <f t="array" ref="K169:P169">[1]!'8068.TW-PreClose,InOutRatio,AvgPrice,Capital,Profit,MarketValue'</f>
        <v>24.25</v>
      </c>
      <c r="L169">
        <v>29.27</v>
      </c>
      <c r="M169">
        <v>23.83</v>
      </c>
      <c r="N169">
        <v>8.08</v>
      </c>
      <c r="O169">
        <v>-0.03</v>
      </c>
      <c r="P169">
        <v>18.899999999999999</v>
      </c>
    </row>
    <row r="170" spans="1:16" x14ac:dyDescent="0.25">
      <c r="A170" t="str">
        <f t="array" ref="A170:J170">[1]!'2462.TW-Name,Bid,Ask,Price,PriceChange,PriceChangeRatio,Volume,TotalVolume,BestBidSize,BestAskSize'</f>
        <v>良得電</v>
      </c>
      <c r="B170">
        <v>22.6</v>
      </c>
      <c r="C170">
        <v>22.65</v>
      </c>
      <c r="D170">
        <v>22.65</v>
      </c>
      <c r="E170">
        <v>-0.1</v>
      </c>
      <c r="F170">
        <v>-0.44</v>
      </c>
      <c r="G170">
        <v>8</v>
      </c>
      <c r="H170">
        <v>456</v>
      </c>
      <c r="I170">
        <v>8</v>
      </c>
      <c r="J170">
        <v>1</v>
      </c>
      <c r="K170">
        <f t="array" ref="K170:P170">[1]!'2462.TW-PreClose,InOutRatio,AvgPrice,Capital,Profit,MarketValue'</f>
        <v>22.75</v>
      </c>
      <c r="L170">
        <v>32.51</v>
      </c>
      <c r="M170">
        <v>22.71</v>
      </c>
      <c r="N170">
        <v>15.08</v>
      </c>
      <c r="O170">
        <v>0.26</v>
      </c>
      <c r="P170">
        <v>34.200000000000003</v>
      </c>
    </row>
    <row r="171" spans="1:16" x14ac:dyDescent="0.25">
      <c r="A171" t="str">
        <f t="array" ref="A171:J171">[1]!'1721.TW-Name,Bid,Ask,Price,PriceChange,PriceChangeRatio,Volume,TotalVolume,BestBidSize,BestAskSize'</f>
        <v>三晃</v>
      </c>
      <c r="B171">
        <v>22.55</v>
      </c>
      <c r="C171" t="str">
        <v>--</v>
      </c>
      <c r="D171">
        <v>22.55</v>
      </c>
      <c r="E171">
        <v>2.0499999999999998</v>
      </c>
      <c r="F171">
        <v>10</v>
      </c>
      <c r="G171">
        <v>40</v>
      </c>
      <c r="H171">
        <v>6726</v>
      </c>
      <c r="I171">
        <v>1531</v>
      </c>
      <c r="J171">
        <v>0</v>
      </c>
      <c r="K171">
        <f t="array" ref="K171:P171">[1]!'1721.TW-PreClose,InOutRatio,AvgPrice,Capital,Profit,MarketValue'</f>
        <v>20.5</v>
      </c>
      <c r="L171">
        <v>93.75</v>
      </c>
      <c r="M171">
        <v>22.41</v>
      </c>
      <c r="N171">
        <v>18.489999999999998</v>
      </c>
      <c r="O171">
        <v>-0.71</v>
      </c>
      <c r="P171">
        <v>41.7</v>
      </c>
    </row>
    <row r="172" spans="1:16" x14ac:dyDescent="0.25">
      <c r="A172" t="str">
        <f t="array" ref="A172:J172">[1]!'3550.TW-Name,Bid,Ask,Price,PriceChange,PriceChangeRatio,Volume,TotalVolume,BestBidSize,BestAskSize'</f>
        <v>聯穎</v>
      </c>
      <c r="B172">
        <v>21.2</v>
      </c>
      <c r="C172">
        <v>21.25</v>
      </c>
      <c r="D172">
        <v>21.25</v>
      </c>
      <c r="E172">
        <v>0.15</v>
      </c>
      <c r="F172">
        <v>0.71</v>
      </c>
      <c r="G172">
        <v>197</v>
      </c>
      <c r="H172">
        <v>4509</v>
      </c>
      <c r="I172">
        <v>1</v>
      </c>
      <c r="J172">
        <v>15</v>
      </c>
      <c r="K172">
        <f t="array" ref="K172:P172">[1]!'3550.TW-PreClose,InOutRatio,AvgPrice,Capital,Profit,MarketValue'</f>
        <v>21.1</v>
      </c>
      <c r="L172">
        <v>39.700000000000003</v>
      </c>
      <c r="M172">
        <v>20.66</v>
      </c>
      <c r="N172">
        <v>10.76</v>
      </c>
      <c r="O172">
        <v>-0.49</v>
      </c>
      <c r="P172">
        <v>22.9</v>
      </c>
    </row>
    <row r="173" spans="1:16" x14ac:dyDescent="0.25">
      <c r="A173" t="str">
        <f t="array" ref="A173:J173">[1]!'3712.TW-Name,Bid,Ask,Price,PriceChange,PriceChangeRatio,Volume,TotalVolume,BestBidSize,BestAskSize'</f>
        <v>永崴投控</v>
      </c>
      <c r="B173">
        <v>21.2</v>
      </c>
      <c r="C173" t="str">
        <v>--</v>
      </c>
      <c r="D173">
        <v>21.2</v>
      </c>
      <c r="E173">
        <v>1.9</v>
      </c>
      <c r="F173">
        <v>9.84</v>
      </c>
      <c r="G173">
        <v>1</v>
      </c>
      <c r="H173">
        <v>470</v>
      </c>
      <c r="I173">
        <v>1584</v>
      </c>
      <c r="J173">
        <v>0</v>
      </c>
      <c r="K173">
        <f t="array" ref="K173:P173">[1]!'3712.TW-PreClose,InOutRatio,AvgPrice,Capital,Profit,MarketValue'</f>
        <v>19.3</v>
      </c>
      <c r="L173">
        <v>100</v>
      </c>
      <c r="M173">
        <v>21.2</v>
      </c>
      <c r="N173">
        <v>24.62</v>
      </c>
      <c r="O173">
        <v>-3.07</v>
      </c>
      <c r="P173">
        <v>52.2</v>
      </c>
    </row>
    <row r="174" spans="1:16" x14ac:dyDescent="0.25">
      <c r="A174" t="str">
        <f t="array" ref="A174:J174">[1]!'3511.TW-Name,Bid,Ask,Price,PriceChange,PriceChangeRatio,Volume,TotalVolume,BestBidSize,BestAskSize'</f>
        <v>矽瑪</v>
      </c>
      <c r="B174">
        <v>20.75</v>
      </c>
      <c r="C174">
        <v>20.8</v>
      </c>
      <c r="D174">
        <v>20.8</v>
      </c>
      <c r="E174">
        <v>-0.5</v>
      </c>
      <c r="F174">
        <v>-2.35</v>
      </c>
      <c r="G174">
        <v>43</v>
      </c>
      <c r="H174">
        <v>980</v>
      </c>
      <c r="I174">
        <v>9</v>
      </c>
      <c r="J174">
        <v>1</v>
      </c>
      <c r="K174">
        <f t="array" ref="K174:P174">[1]!'3511.TW-PreClose,InOutRatio,AvgPrice,Capital,Profit,MarketValue'</f>
        <v>21.3</v>
      </c>
      <c r="L174">
        <v>41.8</v>
      </c>
      <c r="M174">
        <v>21.07</v>
      </c>
      <c r="N174">
        <v>8</v>
      </c>
      <c r="O174">
        <v>-0.18</v>
      </c>
      <c r="P174">
        <v>16.600000000000001</v>
      </c>
    </row>
    <row r="175" spans="1:16" x14ac:dyDescent="0.25">
      <c r="A175" t="str">
        <f t="array" ref="A175:J175">[1]!'4564.TW-Name,Bid,Ask,Price,PriceChange,PriceChangeRatio,Volume,TotalVolume,BestBidSize,BestAskSize'</f>
        <v>元翎</v>
      </c>
      <c r="B175">
        <v>19.95</v>
      </c>
      <c r="C175">
        <v>20</v>
      </c>
      <c r="D175">
        <v>19.95</v>
      </c>
      <c r="E175">
        <v>0.1</v>
      </c>
      <c r="F175">
        <v>0.5</v>
      </c>
      <c r="G175">
        <v>31</v>
      </c>
      <c r="H175">
        <v>1026</v>
      </c>
      <c r="I175">
        <v>16</v>
      </c>
      <c r="J175">
        <v>62</v>
      </c>
      <c r="K175">
        <f t="array" ref="K175:P175">[1]!'4564.TW-PreClose,InOutRatio,AvgPrice,Capital,Profit,MarketValue'</f>
        <v>19.850000000000001</v>
      </c>
      <c r="L175">
        <v>55.23</v>
      </c>
      <c r="M175">
        <v>19.88</v>
      </c>
      <c r="N175">
        <v>23.28</v>
      </c>
      <c r="O175">
        <v>-0.33</v>
      </c>
      <c r="P175">
        <v>46.4</v>
      </c>
    </row>
    <row r="176" spans="1:16" x14ac:dyDescent="0.25">
      <c r="A176" t="str">
        <f t="array" ref="A176:J176">[1]!'8059.TW-Name,Bid,Ask,Price,PriceChange,PriceChangeRatio,Volume,TotalVolume,BestBidSize,BestAskSize'</f>
        <v>凱碩</v>
      </c>
      <c r="B176">
        <v>19.850000000000001</v>
      </c>
      <c r="C176">
        <v>20</v>
      </c>
      <c r="D176">
        <v>19.850000000000001</v>
      </c>
      <c r="E176">
        <v>-0.15</v>
      </c>
      <c r="F176">
        <v>-0.75</v>
      </c>
      <c r="G176">
        <v>9</v>
      </c>
      <c r="H176">
        <v>736</v>
      </c>
      <c r="I176">
        <v>3</v>
      </c>
      <c r="J176">
        <v>4</v>
      </c>
      <c r="K176">
        <f t="array" ref="K176:P176">[1]!'8059.TW-PreClose,InOutRatio,AvgPrice,Capital,Profit,MarketValue'</f>
        <v>20</v>
      </c>
      <c r="L176">
        <v>33.659999999999997</v>
      </c>
      <c r="M176">
        <v>20.190000000000001</v>
      </c>
      <c r="N176">
        <v>19.399999999999999</v>
      </c>
      <c r="O176">
        <v>0.02</v>
      </c>
      <c r="P176">
        <v>38.5</v>
      </c>
    </row>
    <row r="177" spans="1:16" x14ac:dyDescent="0.25">
      <c r="A177" t="str">
        <f t="array" ref="A177:J177">[1]!'2302.TW-Name,Bid,Ask,Price,PriceChange,PriceChangeRatio,Volume,TotalVolume,BestBidSize,BestAskSize'</f>
        <v>麗正</v>
      </c>
      <c r="B177">
        <v>18.899999999999999</v>
      </c>
      <c r="C177">
        <v>19</v>
      </c>
      <c r="D177">
        <v>18.899999999999999</v>
      </c>
      <c r="E177">
        <v>-0.5</v>
      </c>
      <c r="F177">
        <v>-2.58</v>
      </c>
      <c r="G177">
        <v>77</v>
      </c>
      <c r="H177">
        <v>1704</v>
      </c>
      <c r="I177">
        <v>24</v>
      </c>
      <c r="J177">
        <v>1</v>
      </c>
      <c r="K177">
        <f t="array" ref="K177:P177">[1]!'2302.TW-PreClose,InOutRatio,AvgPrice,Capital,Profit,MarketValue'</f>
        <v>19.399999999999999</v>
      </c>
      <c r="L177">
        <v>31.91</v>
      </c>
      <c r="M177">
        <v>19.34</v>
      </c>
      <c r="N177">
        <v>16.63</v>
      </c>
      <c r="O177">
        <v>0.09</v>
      </c>
      <c r="P177">
        <v>31.4</v>
      </c>
    </row>
    <row r="178" spans="1:16" x14ac:dyDescent="0.25">
      <c r="A178" t="str">
        <f t="array" ref="A178:J178">[1]!'6153.TW-Name,Bid,Ask,Price,PriceChange,PriceChangeRatio,Volume,TotalVolume,BestBidSize,BestAskSize'</f>
        <v>嘉聯益</v>
      </c>
      <c r="B178">
        <v>18.75</v>
      </c>
      <c r="C178">
        <v>18.8</v>
      </c>
      <c r="D178">
        <v>18.8</v>
      </c>
      <c r="E178">
        <v>0.05</v>
      </c>
      <c r="F178">
        <v>0.27</v>
      </c>
      <c r="G178">
        <v>498</v>
      </c>
      <c r="H178">
        <v>10832</v>
      </c>
      <c r="I178">
        <v>5</v>
      </c>
      <c r="J178">
        <v>3</v>
      </c>
      <c r="K178">
        <f t="array" ref="K178:P178">[1]!'6153.TW-PreClose,InOutRatio,AvgPrice,Capital,Profit,MarketValue'</f>
        <v>18.75</v>
      </c>
      <c r="L178">
        <v>39.42</v>
      </c>
      <c r="M178">
        <v>18.75</v>
      </c>
      <c r="N178">
        <v>63.62</v>
      </c>
      <c r="O178">
        <v>-1.53</v>
      </c>
      <c r="P178">
        <v>119.6</v>
      </c>
    </row>
    <row r="179" spans="1:16" x14ac:dyDescent="0.25">
      <c r="A179" t="str">
        <f t="array" ref="A179:J179">[1]!'2705.TW-Name,Bid,Ask,Price,PriceChange,PriceChangeRatio,Volume,TotalVolume,BestBidSize,BestAskSize'</f>
        <v>六福</v>
      </c>
      <c r="B179">
        <v>17.649999999999999</v>
      </c>
      <c r="C179">
        <v>17.75</v>
      </c>
      <c r="D179">
        <v>17.7</v>
      </c>
      <c r="E179">
        <v>0.1</v>
      </c>
      <c r="F179">
        <v>0.56999999999999995</v>
      </c>
      <c r="G179">
        <v>25</v>
      </c>
      <c r="H179">
        <v>534</v>
      </c>
      <c r="I179">
        <v>5</v>
      </c>
      <c r="J179">
        <v>49</v>
      </c>
      <c r="K179">
        <f t="array" ref="K179:P179">[1]!'2705.TW-PreClose,InOutRatio,AvgPrice,Capital,Profit,MarketValue'</f>
        <v>17.600000000000001</v>
      </c>
      <c r="L179">
        <v>47.94</v>
      </c>
      <c r="M179">
        <v>17.510000000000002</v>
      </c>
      <c r="N179">
        <v>19.13</v>
      </c>
      <c r="O179">
        <v>1.32</v>
      </c>
      <c r="P179">
        <v>33</v>
      </c>
    </row>
    <row r="180" spans="1:16" x14ac:dyDescent="0.25">
      <c r="A180" t="str">
        <f t="array" ref="A180:J180">[1]!'4934.TW-Name,Bid,Ask,Price,PriceChange,PriceChangeRatio,Volume,TotalVolume,BestBidSize,BestAskSize'</f>
        <v>太極</v>
      </c>
      <c r="B180">
        <v>17.05</v>
      </c>
      <c r="C180">
        <v>17.100000000000001</v>
      </c>
      <c r="D180">
        <v>17.05</v>
      </c>
      <c r="E180">
        <v>0.25</v>
      </c>
      <c r="F180">
        <v>1.49</v>
      </c>
      <c r="G180">
        <v>64</v>
      </c>
      <c r="H180">
        <v>1639</v>
      </c>
      <c r="I180">
        <v>12</v>
      </c>
      <c r="J180">
        <v>12</v>
      </c>
      <c r="K180">
        <f t="array" ref="K180:P180">[1]!'4934.TW-PreClose,InOutRatio,AvgPrice,Capital,Profit,MarketValue'</f>
        <v>16.8</v>
      </c>
      <c r="L180">
        <v>47.76</v>
      </c>
      <c r="M180">
        <v>17.010000000000002</v>
      </c>
      <c r="N180">
        <v>22.5</v>
      </c>
      <c r="O180">
        <v>-0.28000000000000003</v>
      </c>
      <c r="P180">
        <v>38.4</v>
      </c>
    </row>
    <row r="181" spans="1:16" x14ac:dyDescent="0.25">
      <c r="A181" t="str">
        <f t="array" ref="A181:J181">[1]!'2491.TW-Name,Bid,Ask,Price,PriceChange,PriceChangeRatio,Volume,TotalVolume,BestBidSize,BestAskSize'</f>
        <v>吉祥全</v>
      </c>
      <c r="B181">
        <v>16.399999999999999</v>
      </c>
      <c r="C181">
        <v>16.45</v>
      </c>
      <c r="D181">
        <v>16.399999999999999</v>
      </c>
      <c r="E181">
        <v>-0.6</v>
      </c>
      <c r="F181">
        <v>-3.53</v>
      </c>
      <c r="G181">
        <v>9</v>
      </c>
      <c r="H181">
        <v>349</v>
      </c>
      <c r="I181">
        <v>9</v>
      </c>
      <c r="J181">
        <v>3</v>
      </c>
      <c r="K181">
        <f t="array" ref="K181:P181">[1]!'2491.TW-PreClose,InOutRatio,AvgPrice,Capital,Profit,MarketValue'</f>
        <v>17</v>
      </c>
      <c r="L181">
        <v>32.119999999999997</v>
      </c>
      <c r="M181">
        <v>16.55</v>
      </c>
      <c r="N181">
        <v>8.1999999999999993</v>
      </c>
      <c r="O181">
        <v>0.94</v>
      </c>
      <c r="P181">
        <v>13.4</v>
      </c>
    </row>
    <row r="182" spans="1:16" x14ac:dyDescent="0.25">
      <c r="A182" t="str">
        <f t="array" ref="A182:J182">[1]!'2702.TW-Name,Bid,Ask,Price,PriceChange,PriceChangeRatio,Volume,TotalVolume,BestBidSize,BestAskSize'</f>
        <v>華園</v>
      </c>
      <c r="B182">
        <v>16.05</v>
      </c>
      <c r="C182">
        <v>16.100000000000001</v>
      </c>
      <c r="D182">
        <v>16.05</v>
      </c>
      <c r="E182">
        <v>-1.75</v>
      </c>
      <c r="F182">
        <v>-9.83</v>
      </c>
      <c r="G182">
        <v>9</v>
      </c>
      <c r="H182">
        <v>1097</v>
      </c>
      <c r="I182">
        <v>3</v>
      </c>
      <c r="J182">
        <v>1</v>
      </c>
      <c r="K182">
        <f t="array" ref="K182:P182">[1]!'2702.TW-PreClose,InOutRatio,AvgPrice,Capital,Profit,MarketValue'</f>
        <v>17.8</v>
      </c>
      <c r="L182">
        <v>21.24</v>
      </c>
      <c r="M182">
        <v>16.760000000000002</v>
      </c>
      <c r="N182">
        <v>15.66</v>
      </c>
      <c r="O182">
        <v>0.26</v>
      </c>
      <c r="P182">
        <v>25.1</v>
      </c>
    </row>
    <row r="183" spans="1:16" x14ac:dyDescent="0.25">
      <c r="A183" t="str">
        <f t="array" ref="A183:J183">[1]!'6226.TW-Name,Bid,Ask,Price,PriceChange,PriceChangeRatio,Volume,TotalVolume,BestBidSize,BestAskSize'</f>
        <v>光鼎</v>
      </c>
      <c r="B183">
        <v>15.95</v>
      </c>
      <c r="C183">
        <v>16</v>
      </c>
      <c r="D183">
        <v>16</v>
      </c>
      <c r="E183">
        <v>1.4</v>
      </c>
      <c r="F183">
        <v>9.59</v>
      </c>
      <c r="G183">
        <v>143</v>
      </c>
      <c r="H183">
        <v>11599</v>
      </c>
      <c r="I183">
        <v>39</v>
      </c>
      <c r="J183">
        <v>115</v>
      </c>
      <c r="K183">
        <f t="array" ref="K183:P183">[1]!'6226.TW-PreClose,InOutRatio,AvgPrice,Capital,Profit,MarketValue'</f>
        <v>14.6</v>
      </c>
      <c r="L183">
        <v>61.5</v>
      </c>
      <c r="M183">
        <v>15.82</v>
      </c>
      <c r="N183">
        <v>11.55</v>
      </c>
      <c r="O183">
        <v>-0.1</v>
      </c>
      <c r="P183">
        <v>18.5</v>
      </c>
    </row>
    <row r="184" spans="1:16" x14ac:dyDescent="0.25">
      <c r="A184" t="str">
        <f t="array" ref="A184:J184">[1]!'4707.TW-Name,Bid,Ask,Price,PriceChange,PriceChangeRatio,Volume,TotalVolume,BestBidSize,BestAskSize'</f>
        <v>磐亞</v>
      </c>
      <c r="B184">
        <v>15.85</v>
      </c>
      <c r="C184">
        <v>15.9</v>
      </c>
      <c r="D184">
        <v>15.85</v>
      </c>
      <c r="E184">
        <v>0.8</v>
      </c>
      <c r="F184">
        <v>5.32</v>
      </c>
      <c r="G184">
        <v>240</v>
      </c>
      <c r="H184">
        <v>9170</v>
      </c>
      <c r="I184">
        <v>6</v>
      </c>
      <c r="J184">
        <v>23</v>
      </c>
      <c r="K184">
        <f t="array" ref="K184:P184">[1]!'4707.TW-PreClose,InOutRatio,AvgPrice,Capital,Profit,MarketValue'</f>
        <v>15.05</v>
      </c>
      <c r="L184">
        <v>56.09</v>
      </c>
      <c r="M184">
        <v>15.26</v>
      </c>
      <c r="N184">
        <v>40.369999999999997</v>
      </c>
      <c r="O184">
        <v>0.28999999999999998</v>
      </c>
      <c r="P184">
        <v>64</v>
      </c>
    </row>
    <row r="185" spans="1:16" x14ac:dyDescent="0.25">
      <c r="A185" t="str">
        <f t="array" ref="A185:J185">[1]!'4416.TW-Name,Bid,Ask,Price,PriceChange,PriceChangeRatio,Volume,TotalVolume,BestBidSize,BestAskSize'</f>
        <v>三圓</v>
      </c>
      <c r="B185">
        <v>15.7</v>
      </c>
      <c r="C185">
        <v>15.75</v>
      </c>
      <c r="D185">
        <v>15.7</v>
      </c>
      <c r="E185">
        <v>0.6</v>
      </c>
      <c r="F185">
        <v>3.97</v>
      </c>
      <c r="G185">
        <v>31</v>
      </c>
      <c r="H185">
        <v>2414</v>
      </c>
      <c r="I185">
        <v>5</v>
      </c>
      <c r="J185">
        <v>4</v>
      </c>
      <c r="K185">
        <f t="array" ref="K185:P185">[1]!'4416.TW-PreClose,InOutRatio,AvgPrice,Capital,Profit,MarketValue'</f>
        <v>15.1</v>
      </c>
      <c r="L185">
        <v>27.58</v>
      </c>
      <c r="M185">
        <v>16.12</v>
      </c>
      <c r="N185">
        <v>7.36</v>
      </c>
      <c r="O185">
        <v>0.82</v>
      </c>
      <c r="P185">
        <v>11.6</v>
      </c>
    </row>
    <row r="186" spans="1:16" x14ac:dyDescent="0.25">
      <c r="A186" t="str">
        <f t="array" ref="A186:J186">[1]!'4716.TW-Name,Bid,Ask,Price,PriceChange,PriceChangeRatio,Volume,TotalVolume,BestBidSize,BestAskSize'</f>
        <v>大立</v>
      </c>
      <c r="B186">
        <v>15.7</v>
      </c>
      <c r="C186">
        <v>15.8</v>
      </c>
      <c r="D186">
        <v>15.75</v>
      </c>
      <c r="E186">
        <v>-0.45</v>
      </c>
      <c r="F186">
        <v>-2.78</v>
      </c>
      <c r="G186">
        <v>30</v>
      </c>
      <c r="H186">
        <v>703</v>
      </c>
      <c r="I186">
        <v>16</v>
      </c>
      <c r="J186">
        <v>3</v>
      </c>
      <c r="K186">
        <f t="array" ref="K186:P186">[1]!'4716.TW-PreClose,InOutRatio,AvgPrice,Capital,Profit,MarketValue'</f>
        <v>16.2</v>
      </c>
      <c r="L186">
        <v>36.950000000000003</v>
      </c>
      <c r="M186">
        <v>15.8</v>
      </c>
      <c r="N186">
        <v>9.44</v>
      </c>
      <c r="O186">
        <v>-0.06</v>
      </c>
      <c r="P186">
        <v>14.9</v>
      </c>
    </row>
    <row r="187" spans="1:16" x14ac:dyDescent="0.25">
      <c r="A187" t="str">
        <f t="array" ref="A187:J187">[1]!'3607.TW-Name,Bid,Ask,Price,PriceChange,PriceChangeRatio,Volume,TotalVolume,BestBidSize,BestAskSize'</f>
        <v>谷崧</v>
      </c>
      <c r="B187">
        <v>15.1</v>
      </c>
      <c r="C187">
        <v>15.25</v>
      </c>
      <c r="D187">
        <v>15.1</v>
      </c>
      <c r="E187">
        <v>-0.4</v>
      </c>
      <c r="F187">
        <v>-2.58</v>
      </c>
      <c r="G187">
        <v>10</v>
      </c>
      <c r="H187">
        <v>804</v>
      </c>
      <c r="I187">
        <v>10</v>
      </c>
      <c r="J187">
        <v>2</v>
      </c>
      <c r="K187">
        <f t="array" ref="K187:P187">[1]!'3607.TW-PreClose,InOutRatio,AvgPrice,Capital,Profit,MarketValue'</f>
        <v>15.5</v>
      </c>
      <c r="L187">
        <v>37.53</v>
      </c>
      <c r="M187">
        <v>15.34</v>
      </c>
      <c r="N187">
        <v>12.17</v>
      </c>
      <c r="O187">
        <v>-0.03</v>
      </c>
      <c r="P187">
        <v>18.399999999999999</v>
      </c>
    </row>
    <row r="188" spans="1:16" x14ac:dyDescent="0.25">
      <c r="A188" t="str">
        <f t="array" ref="A188:J188">[1]!'2444.TW-Name,Bid,Ask,Price,PriceChange,PriceChangeRatio,Volume,TotalVolume,BestBidSize,BestAskSize'</f>
        <v>兆勁</v>
      </c>
      <c r="B188">
        <v>13.6</v>
      </c>
      <c r="C188">
        <v>13.7</v>
      </c>
      <c r="D188">
        <v>13.6</v>
      </c>
      <c r="E188">
        <v>-0.3</v>
      </c>
      <c r="F188">
        <v>-2.16</v>
      </c>
      <c r="G188">
        <v>74</v>
      </c>
      <c r="H188">
        <v>1751</v>
      </c>
      <c r="I188">
        <v>30</v>
      </c>
      <c r="J188">
        <v>4</v>
      </c>
      <c r="K188">
        <f t="array" ref="K188:P188">[1]!'2444.TW-PreClose,InOutRatio,AvgPrice,Capital,Profit,MarketValue'</f>
        <v>13.9</v>
      </c>
      <c r="L188">
        <v>41.67</v>
      </c>
      <c r="M188">
        <v>13.86</v>
      </c>
      <c r="N188">
        <v>10.16</v>
      </c>
      <c r="O188">
        <v>-0.36</v>
      </c>
      <c r="P188">
        <v>13.8</v>
      </c>
    </row>
    <row r="189" spans="1:16" x14ac:dyDescent="0.25">
      <c r="A189" t="str">
        <f t="array" ref="A189:J189">[1]!'3011.TW-Name,Bid,Ask,Price,PriceChange,PriceChangeRatio,Volume,TotalVolume,BestBidSize,BestAskSize'</f>
        <v>今皓</v>
      </c>
      <c r="B189">
        <v>13.5</v>
      </c>
      <c r="C189">
        <v>13.55</v>
      </c>
      <c r="D189">
        <v>13.5</v>
      </c>
      <c r="E189">
        <v>0.25</v>
      </c>
      <c r="F189">
        <v>1.89</v>
      </c>
      <c r="G189">
        <v>50</v>
      </c>
      <c r="H189">
        <v>1532</v>
      </c>
      <c r="I189">
        <v>8</v>
      </c>
      <c r="J189">
        <v>21</v>
      </c>
      <c r="K189">
        <f t="array" ref="K189:P189">[1]!'3011.TW-PreClose,InOutRatio,AvgPrice,Capital,Profit,MarketValue'</f>
        <v>13.25</v>
      </c>
      <c r="L189">
        <v>51.82</v>
      </c>
      <c r="M189">
        <v>13.49</v>
      </c>
      <c r="N189">
        <v>12.96</v>
      </c>
      <c r="O189">
        <v>-1.05</v>
      </c>
      <c r="P189">
        <v>15.8</v>
      </c>
    </row>
    <row r="190" spans="1:16" x14ac:dyDescent="0.25">
      <c r="A190" t="str">
        <f t="array" ref="A190:J190">[1]!'3024.TW-Name,Bid,Ask,Price,PriceChange,PriceChangeRatio,Volume,TotalVolume,BestBidSize,BestAskSize'</f>
        <v>憶聲</v>
      </c>
      <c r="B190">
        <v>12</v>
      </c>
      <c r="C190" t="str">
        <v>--</v>
      </c>
      <c r="D190">
        <v>12</v>
      </c>
      <c r="E190">
        <v>1.05</v>
      </c>
      <c r="F190">
        <v>9.59</v>
      </c>
      <c r="G190">
        <v>3</v>
      </c>
      <c r="H190">
        <v>6540</v>
      </c>
      <c r="I190">
        <v>1469</v>
      </c>
      <c r="J190">
        <v>0</v>
      </c>
      <c r="K190">
        <f t="array" ref="K190:P190">[1]!'3024.TW-PreClose,InOutRatio,AvgPrice,Capital,Profit,MarketValue'</f>
        <v>10.95</v>
      </c>
      <c r="L190">
        <v>81.400000000000006</v>
      </c>
      <c r="M190">
        <v>11.91</v>
      </c>
      <c r="N190">
        <v>27.72</v>
      </c>
      <c r="O190">
        <v>-0.05</v>
      </c>
      <c r="P190">
        <v>33.299999999999997</v>
      </c>
    </row>
    <row r="191" spans="1:16" x14ac:dyDescent="0.25">
      <c r="A191" t="str">
        <f t="array" ref="A191:J191">[1]!'1626.TW-Name,Bid,Ask,Price,PriceChange,PriceChangeRatio,Volume,TotalVolume,BestBidSize,BestAskSize'</f>
        <v>艾美特-KY</v>
      </c>
      <c r="B191">
        <v>11.35</v>
      </c>
      <c r="C191">
        <v>11.45</v>
      </c>
      <c r="D191">
        <v>11.35</v>
      </c>
      <c r="E191">
        <v>-0.65</v>
      </c>
      <c r="F191">
        <v>-5.42</v>
      </c>
      <c r="G191">
        <v>31</v>
      </c>
      <c r="H191">
        <v>572</v>
      </c>
      <c r="I191">
        <v>214</v>
      </c>
      <c r="J191">
        <v>1</v>
      </c>
      <c r="K191">
        <f t="array" ref="K191:P191">[1]!'1626.TW-PreClose,InOutRatio,AvgPrice,Capital,Profit,MarketValue'</f>
        <v>12</v>
      </c>
      <c r="L191">
        <v>38.93</v>
      </c>
      <c r="M191">
        <v>11.57</v>
      </c>
      <c r="N191">
        <v>14.98</v>
      </c>
      <c r="O191">
        <v>-0.56000000000000005</v>
      </c>
      <c r="P191">
        <v>17</v>
      </c>
    </row>
    <row r="192" spans="1:16" x14ac:dyDescent="0.25">
      <c r="A192" t="str">
        <f t="array" ref="A192:J192">[1]!'1455.TW-Name,Bid,Ask,Price,PriceChange,PriceChangeRatio,Volume,TotalVolume,BestBidSize,BestAskSize'</f>
        <v>集盛</v>
      </c>
      <c r="B192">
        <v>8.9600000000000009</v>
      </c>
      <c r="C192">
        <v>8.9700000000000006</v>
      </c>
      <c r="D192">
        <v>8.9700000000000006</v>
      </c>
      <c r="E192">
        <v>-0.05</v>
      </c>
      <c r="F192">
        <v>-0.55000000000000004</v>
      </c>
      <c r="G192">
        <v>16</v>
      </c>
      <c r="H192">
        <v>927</v>
      </c>
      <c r="I192">
        <v>2</v>
      </c>
      <c r="J192">
        <v>6</v>
      </c>
      <c r="K192">
        <f t="array" ref="K192:P192">[1]!'1455.TW-PreClose,InOutRatio,AvgPrice,Capital,Profit,MarketValue'</f>
        <v>9.02</v>
      </c>
      <c r="L192">
        <v>34.9</v>
      </c>
      <c r="M192">
        <v>8.89</v>
      </c>
      <c r="N192">
        <v>53.17</v>
      </c>
      <c r="O192">
        <v>-0.33</v>
      </c>
      <c r="P192">
        <v>47.7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RICH</dc:creator>
  <cp:lastModifiedBy>MAN RICH</cp:lastModifiedBy>
  <dcterms:created xsi:type="dcterms:W3CDTF">2026-04-20T09:03:59Z</dcterms:created>
  <dcterms:modified xsi:type="dcterms:W3CDTF">2026-04-20T09:06:11Z</dcterms:modified>
</cp:coreProperties>
</file>